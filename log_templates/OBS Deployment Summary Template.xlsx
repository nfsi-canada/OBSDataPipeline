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tie Bosman\code\OBSDataPipeline\log_templates\"/>
    </mc:Choice>
  </mc:AlternateContent>
  <xr:revisionPtr revIDLastSave="0" documentId="13_ncr:1_{4B7A4C26-23EF-402C-B993-F69B99E2C167}" xr6:coauthVersionLast="47" xr6:coauthVersionMax="47" xr10:uidLastSave="{00000000-0000-0000-0000-000000000000}"/>
  <bookViews>
    <workbookView xWindow="-38510" yWindow="-10910" windowWidth="38620" windowHeight="21220" xr2:uid="{40123D5C-8A56-48C8-83AB-25C6150FC8B9}"/>
  </bookViews>
  <sheets>
    <sheet name="Locations" sheetId="1" r:id="rId1"/>
    <sheet name="Deployment Log" sheetId="2" r:id="rId2"/>
    <sheet name="Recovery Log" sheetId="5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3" i="5" l="1"/>
  <c r="P3" i="5"/>
  <c r="W3" i="1"/>
  <c r="AA3" i="1"/>
  <c r="AE3" i="1" s="1"/>
  <c r="AB3" i="1"/>
  <c r="X3" i="1"/>
  <c r="H3" i="2"/>
  <c r="P3" i="1"/>
</calcChain>
</file>

<file path=xl/sharedStrings.xml><?xml version="1.0" encoding="utf-8"?>
<sst xmlns="http://schemas.openxmlformats.org/spreadsheetml/2006/main" count="106" uniqueCount="57">
  <si>
    <t>Station Name</t>
  </si>
  <si>
    <t>Planned Location</t>
  </si>
  <si>
    <t>Latitude</t>
  </si>
  <si>
    <t>Longitude</t>
  </si>
  <si>
    <t>Depth (m)</t>
  </si>
  <si>
    <t>Actual Launch Location</t>
  </si>
  <si>
    <t>OBS</t>
  </si>
  <si>
    <t>Name</t>
  </si>
  <si>
    <t>Serial</t>
  </si>
  <si>
    <t>Beacons</t>
  </si>
  <si>
    <t>Apollo S/N</t>
  </si>
  <si>
    <t>VHF S/N</t>
  </si>
  <si>
    <t>VHF frequency (MHz)</t>
  </si>
  <si>
    <t>Comments</t>
  </si>
  <si>
    <t>Distance from Planned (km)</t>
  </si>
  <si>
    <t>Acoustic Modem</t>
  </si>
  <si>
    <t>Address</t>
  </si>
  <si>
    <t>UID</t>
  </si>
  <si>
    <t>Horizontal Drift (m)</t>
  </si>
  <si>
    <t>Bearing from Drop</t>
  </si>
  <si>
    <t>Firmware Versions</t>
  </si>
  <si>
    <t>Minimus</t>
  </si>
  <si>
    <t>Femtomus</t>
  </si>
  <si>
    <t>Surveyed Location (Seafloor)</t>
  </si>
  <si>
    <t>First Surfacing Location</t>
  </si>
  <si>
    <t>Bearing from Survey</t>
  </si>
  <si>
    <t>Distance from Surfacing (km)</t>
  </si>
  <si>
    <t>OBS Location as Deployed</t>
  </si>
  <si>
    <t>Surfacing</t>
  </si>
  <si>
    <t>On deck</t>
  </si>
  <si>
    <t>Clock Offset (ms)</t>
  </si>
  <si>
    <t>Seafloor</t>
  </si>
  <si>
    <t>Recording stopped</t>
  </si>
  <si>
    <t>Acoustic contact</t>
  </si>
  <si>
    <t>Battery SOC</t>
  </si>
  <si>
    <t>%</t>
  </si>
  <si>
    <t>Backup hard drive IDs</t>
  </si>
  <si>
    <t>First Surfacing</t>
  </si>
  <si>
    <t>Recovery Location</t>
  </si>
  <si>
    <t>Surface Drift (km)</t>
  </si>
  <si>
    <t>Rise Drift (km)</t>
  </si>
  <si>
    <t>Date/Time (UTC)</t>
  </si>
  <si>
    <t>Launch</t>
  </si>
  <si>
    <t>Survey Start</t>
  </si>
  <si>
    <t>Recovered</t>
  </si>
  <si>
    <t>Surfaced</t>
  </si>
  <si>
    <t>On Seafloor</t>
  </si>
  <si>
    <t>Survey End</t>
  </si>
  <si>
    <t>Programmed Release</t>
  </si>
  <si>
    <t>Error Depth</t>
  </si>
  <si>
    <t>Error East</t>
  </si>
  <si>
    <t>Error North</t>
  </si>
  <si>
    <t>Burn-wire Batch</t>
  </si>
  <si>
    <t>Burn-wire Test Voltage</t>
  </si>
  <si>
    <t>Widget</t>
  </si>
  <si>
    <t>Dunker</t>
  </si>
  <si>
    <t>Released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</si>
</sst>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/mm/dd\ hh:mm:ss"/>
    <numFmt numFmtId="165" formatCode="0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5B9B89-AA38-4C80-A270-6884D62EF09D}">
  <dimension ref="A1:AE14"/>
  <sheetViews>
    <sheetView tabSelected="1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A4" sqref="A4"/>
    </sheetView>
  </sheetViews>
  <sheetFormatPr defaultRowHeight="15" x14ac:dyDescent="0.25"/>
  <cols>
    <col min="1" max="1" width="13.140625" bestFit="1" customWidth="1"/>
    <col min="3" max="3" width="9.7109375" bestFit="1" customWidth="1"/>
    <col min="4" max="4" width="9.140625" style="1" customWidth="1"/>
    <col min="5" max="5" width="11.42578125" style="1" bestFit="1" customWidth="1"/>
    <col min="6" max="6" width="11.5703125" style="1" bestFit="1" customWidth="1"/>
    <col min="7" max="8" width="11.5703125" style="1" customWidth="1"/>
    <col min="9" max="9" width="10.42578125" style="1" bestFit="1" customWidth="1"/>
    <col min="11" max="11" width="9.85546875" bestFit="1" customWidth="1"/>
    <col min="12" max="12" width="10" bestFit="1" customWidth="1"/>
    <col min="14" max="14" width="9.85546875" bestFit="1" customWidth="1"/>
    <col min="15" max="15" width="10" bestFit="1" customWidth="1"/>
    <col min="16" max="16" width="26.140625" bestFit="1" customWidth="1"/>
    <col min="18" max="18" width="9.85546875" bestFit="1" customWidth="1"/>
    <col min="19" max="19" width="9.85546875" customWidth="1"/>
    <col min="20" max="20" width="11.140625" bestFit="1" customWidth="1"/>
    <col min="21" max="21" width="9.28515625" bestFit="1" customWidth="1"/>
    <col min="22" max="22" width="10.85546875" bestFit="1" customWidth="1"/>
    <col min="23" max="23" width="18.42578125" bestFit="1" customWidth="1"/>
    <col min="24" max="24" width="17.42578125" bestFit="1" customWidth="1"/>
    <col min="26" max="26" width="9.85546875" bestFit="1" customWidth="1"/>
    <col min="27" max="27" width="18.42578125" bestFit="1" customWidth="1"/>
    <col min="28" max="28" width="19.140625" bestFit="1" customWidth="1"/>
    <col min="30" max="30" width="9.85546875" bestFit="1" customWidth="1"/>
    <col min="31" max="31" width="26.140625" bestFit="1" customWidth="1"/>
  </cols>
  <sheetData>
    <row r="1" spans="1:31" s="3" customFormat="1" x14ac:dyDescent="0.25">
      <c r="A1" s="3" t="s">
        <v>0</v>
      </c>
      <c r="B1" s="6" t="s">
        <v>6</v>
      </c>
      <c r="C1" s="6"/>
      <c r="D1" s="7" t="s">
        <v>41</v>
      </c>
      <c r="E1" s="7"/>
      <c r="F1" s="7"/>
      <c r="G1" s="7"/>
      <c r="H1" s="7"/>
      <c r="I1" s="7"/>
      <c r="J1" s="6" t="s">
        <v>1</v>
      </c>
      <c r="K1" s="6"/>
      <c r="L1" s="6"/>
      <c r="M1" s="6" t="s">
        <v>5</v>
      </c>
      <c r="N1" s="6"/>
      <c r="O1" s="6"/>
      <c r="P1" s="6"/>
      <c r="Q1" s="6" t="s">
        <v>23</v>
      </c>
      <c r="R1" s="6"/>
      <c r="S1" s="6"/>
      <c r="T1" s="6"/>
      <c r="U1" s="6"/>
      <c r="V1" s="6"/>
      <c r="W1" s="6"/>
      <c r="X1" s="6"/>
      <c r="Y1" s="6" t="s">
        <v>24</v>
      </c>
      <c r="Z1" s="6"/>
      <c r="AA1" s="6"/>
      <c r="AB1" s="6"/>
      <c r="AC1" s="6" t="s">
        <v>38</v>
      </c>
      <c r="AD1" s="6"/>
      <c r="AE1" s="6"/>
    </row>
    <row r="2" spans="1:31" s="4" customFormat="1" ht="15.75" thickBot="1" x14ac:dyDescent="0.3">
      <c r="B2" s="4" t="s">
        <v>7</v>
      </c>
      <c r="C2" s="4" t="s">
        <v>8</v>
      </c>
      <c r="D2" s="5" t="s">
        <v>42</v>
      </c>
      <c r="E2" s="5" t="s">
        <v>46</v>
      </c>
      <c r="F2" s="5" t="s">
        <v>43</v>
      </c>
      <c r="G2" s="5" t="s">
        <v>56</v>
      </c>
      <c r="H2" s="5" t="s">
        <v>45</v>
      </c>
      <c r="I2" s="5" t="s">
        <v>44</v>
      </c>
      <c r="J2" s="4" t="s">
        <v>2</v>
      </c>
      <c r="K2" s="4" t="s">
        <v>3</v>
      </c>
      <c r="L2" s="4" t="s">
        <v>4</v>
      </c>
      <c r="M2" s="4" t="s">
        <v>2</v>
      </c>
      <c r="N2" s="4" t="s">
        <v>3</v>
      </c>
      <c r="O2" s="4" t="s">
        <v>4</v>
      </c>
      <c r="P2" s="4" t="s">
        <v>14</v>
      </c>
      <c r="Q2" s="4" t="s">
        <v>2</v>
      </c>
      <c r="R2" s="4" t="s">
        <v>3</v>
      </c>
      <c r="S2" s="4" t="s">
        <v>4</v>
      </c>
      <c r="T2" s="4" t="s">
        <v>49</v>
      </c>
      <c r="U2" s="4" t="s">
        <v>50</v>
      </c>
      <c r="V2" s="4" t="s">
        <v>51</v>
      </c>
      <c r="W2" s="4" t="s">
        <v>18</v>
      </c>
      <c r="X2" s="4" t="s">
        <v>19</v>
      </c>
      <c r="Y2" s="4" t="s">
        <v>2</v>
      </c>
      <c r="Z2" s="4" t="s">
        <v>3</v>
      </c>
      <c r="AA2" s="4" t="s">
        <v>18</v>
      </c>
      <c r="AB2" s="4" t="s">
        <v>25</v>
      </c>
      <c r="AC2" s="4" t="s">
        <v>2</v>
      </c>
      <c r="AD2" s="4" t="s">
        <v>3</v>
      </c>
      <c r="AE2" s="4" t="s">
        <v>26</v>
      </c>
    </row>
    <row r="3" spans="1:31" x14ac:dyDescent="0.25">
      <c r="P3" s="2">
        <f t="shared" ref="P3" si="0">2*6370*ASIN(SQRT(SIN(RADIANS(M3-J3)/2)*SIN(RADIANS(M3-J3)/2) + COS(RADIANS(M3))*COS(RADIANS(J3))*SIN(RADIANS(N3-K3)/2)*SIN(RADIANS(N3-K3)/2)))</f>
        <v>0</v>
      </c>
      <c r="W3" s="2">
        <f>2*6370*ASIN(SQRT(SIN(RADIANS(Q3-M3)/2)*SIN(RADIANS(Q3-M3)/2) + COS(RADIANS(Q3))*COS(RADIANS(M3))*SIN(RADIANS(R3-N3)/2)*SIN(RADIANS(R3-N3)/2)))*1000</f>
        <v>0</v>
      </c>
      <c r="X3" t="e">
        <f>MOD(DEGREES(ATAN2(COS(RADIANS(M3))*SIN(RADIANS(Q3)) - SIN(RADIANS(M3))*COS(RADIANS(Q3))*COS(RADIANS(R3-N3)),COS(RADIANS(Q3))*SIN(RADIANS(R3-N3)))) + 360, 360)</f>
        <v>#DIV/0!</v>
      </c>
      <c r="AA3" s="2">
        <f>2*6370*ASIN(SQRT(SIN(RADIANS(Y3-Q3)/2)*SIN(RADIANS(Y3-Q3)/2) + COS(RADIANS(Y3))*COS(RADIANS(Q3))*SIN(RADIANS(Z3-R3)/2)*SIN(RADIANS(Z3-R3)/2)))*1000</f>
        <v>0</v>
      </c>
      <c r="AB3" t="e">
        <f>MOD(DEGREES(ATAN2(COS(RADIANS(Q3))*SIN(RADIANS(Y3)) - SIN(RADIANS(Q3))*COS(RADIANS(Y3))*COS(RADIANS(Z3-R3)),COS(RADIANS(Y3))*SIN(RADIANS(Z3-R3)))) + 360, 360)</f>
        <v>#DIV/0!</v>
      </c>
      <c r="AE3" s="2">
        <f>2*6370*ASIN(SQRT(SIN(RADIANS(AC3-Y3)/2)*SIN(RADIANS(AC3-Y3)/2) + COS(RADIANS(AC3))*COS(RADIANS(Y3))*SIN(RADIANS(AD3-AA3)/2)*SIN(RADIANS(AD3-AA3)/2)))</f>
        <v>0</v>
      </c>
    </row>
    <row r="4" spans="1:31" x14ac:dyDescent="0.25">
      <c r="P4" s="2"/>
      <c r="W4" s="2"/>
    </row>
    <row r="5" spans="1:31" x14ac:dyDescent="0.25">
      <c r="P5" s="2"/>
      <c r="W5" s="2"/>
    </row>
    <row r="6" spans="1:31" x14ac:dyDescent="0.25">
      <c r="P6" s="2"/>
      <c r="W6" s="2"/>
    </row>
    <row r="7" spans="1:31" x14ac:dyDescent="0.25">
      <c r="P7" s="2"/>
      <c r="W7" s="2"/>
    </row>
    <row r="8" spans="1:31" x14ac:dyDescent="0.25">
      <c r="P8" s="2"/>
      <c r="W8" s="2"/>
    </row>
    <row r="9" spans="1:31" x14ac:dyDescent="0.25">
      <c r="P9" s="2"/>
      <c r="W9" s="2"/>
    </row>
    <row r="10" spans="1:31" x14ac:dyDescent="0.25">
      <c r="P10" s="2"/>
      <c r="W10" s="2"/>
    </row>
    <row r="11" spans="1:31" x14ac:dyDescent="0.25">
      <c r="P11" s="2"/>
      <c r="W11" s="2"/>
    </row>
    <row r="12" spans="1:31" x14ac:dyDescent="0.25">
      <c r="P12" s="2"/>
      <c r="W12" s="2"/>
    </row>
    <row r="13" spans="1:31" x14ac:dyDescent="0.25">
      <c r="P13" s="2"/>
      <c r="W13" s="2"/>
    </row>
    <row r="14" spans="1:31" x14ac:dyDescent="0.25">
      <c r="P14" s="2"/>
      <c r="W14" s="2"/>
    </row>
  </sheetData>
  <mergeCells count="7">
    <mergeCell ref="AC1:AE1"/>
    <mergeCell ref="Q1:X1"/>
    <mergeCell ref="J1:L1"/>
    <mergeCell ref="M1:P1"/>
    <mergeCell ref="B1:C1"/>
    <mergeCell ref="Y1:AB1"/>
    <mergeCell ref="D1:I1"/>
  </mergeCells>
  <conditionalFormatting sqref="P3:P14">
    <cfRule type="colorScale" priority="4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W3:W14">
    <cfRule type="colorScale" priority="3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AA3">
    <cfRule type="colorScale" priority="2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AE3">
    <cfRule type="colorScale" priority="1">
      <colorScale>
        <cfvo type="min"/>
        <cfvo type="percentile" val="50"/>
        <cfvo type="max"/>
        <color rgb="FF63BE7B"/>
        <color rgb="FFFCFCFF"/>
        <color rgb="FFF8696B"/>
      </colorScale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C06647-ABA4-4313-84D9-B8CE155AE8AF}">
  <dimension ref="A1:AA14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Z3" sqref="Z3"/>
    </sheetView>
  </sheetViews>
  <sheetFormatPr defaultRowHeight="15" x14ac:dyDescent="0.25"/>
  <cols>
    <col min="1" max="1" width="13.140625" bestFit="1" customWidth="1"/>
    <col min="3" max="3" width="9.85546875" bestFit="1" customWidth="1"/>
    <col min="4" max="4" width="10" bestFit="1" customWidth="1"/>
    <col min="6" max="6" width="9.85546875" bestFit="1" customWidth="1"/>
    <col min="7" max="7" width="10" bestFit="1" customWidth="1"/>
    <col min="8" max="8" width="26.140625" bestFit="1" customWidth="1"/>
    <col min="9" max="9" width="9.140625" customWidth="1"/>
    <col min="10" max="10" width="11.42578125" bestFit="1" customWidth="1"/>
    <col min="11" max="11" width="11.5703125" bestFit="1" customWidth="1"/>
    <col min="12" max="12" width="10.7109375" bestFit="1" customWidth="1"/>
    <col min="13" max="13" width="20.140625" bestFit="1" customWidth="1"/>
    <col min="15" max="15" width="10" bestFit="1" customWidth="1"/>
    <col min="16" max="17" width="10" customWidth="1"/>
    <col min="20" max="20" width="10.5703125" bestFit="1" customWidth="1"/>
    <col min="22" max="22" width="20" bestFit="1" customWidth="1"/>
    <col min="23" max="23" width="11.42578125" bestFit="1" customWidth="1"/>
    <col min="24" max="24" width="11" customWidth="1"/>
    <col min="25" max="26" width="10.42578125" customWidth="1"/>
    <col min="27" max="27" width="98.42578125" bestFit="1" customWidth="1"/>
  </cols>
  <sheetData>
    <row r="1" spans="1:27" s="3" customFormat="1" x14ac:dyDescent="0.25">
      <c r="A1" s="3" t="s">
        <v>0</v>
      </c>
      <c r="B1" s="6" t="s">
        <v>1</v>
      </c>
      <c r="C1" s="6"/>
      <c r="D1" s="6"/>
      <c r="E1" s="6" t="s">
        <v>5</v>
      </c>
      <c r="F1" s="6"/>
      <c r="G1" s="6"/>
      <c r="H1" s="6"/>
      <c r="I1" s="7" t="s">
        <v>41</v>
      </c>
      <c r="J1" s="7"/>
      <c r="K1" s="7"/>
      <c r="L1" s="7"/>
      <c r="M1" s="7"/>
      <c r="N1" s="6" t="s">
        <v>6</v>
      </c>
      <c r="O1" s="6"/>
      <c r="P1" s="6" t="s">
        <v>20</v>
      </c>
      <c r="Q1" s="6"/>
      <c r="R1" s="6" t="s">
        <v>15</v>
      </c>
      <c r="S1" s="6"/>
      <c r="T1" s="6" t="s">
        <v>9</v>
      </c>
      <c r="U1" s="6"/>
      <c r="V1" s="6"/>
      <c r="W1" s="3" t="s">
        <v>34</v>
      </c>
      <c r="X1" s="8" t="s">
        <v>52</v>
      </c>
      <c r="Y1" s="6" t="s">
        <v>53</v>
      </c>
      <c r="Z1" s="6"/>
      <c r="AA1" s="3" t="s">
        <v>13</v>
      </c>
    </row>
    <row r="2" spans="1:27" s="4" customFormat="1" ht="15.75" thickBot="1" x14ac:dyDescent="0.3">
      <c r="B2" s="4" t="s">
        <v>2</v>
      </c>
      <c r="C2" s="4" t="s">
        <v>3</v>
      </c>
      <c r="D2" s="4" t="s">
        <v>4</v>
      </c>
      <c r="E2" s="4" t="s">
        <v>2</v>
      </c>
      <c r="F2" s="4" t="s">
        <v>3</v>
      </c>
      <c r="G2" s="4" t="s">
        <v>4</v>
      </c>
      <c r="H2" s="4" t="s">
        <v>14</v>
      </c>
      <c r="I2" s="5" t="s">
        <v>42</v>
      </c>
      <c r="J2" s="5" t="s">
        <v>46</v>
      </c>
      <c r="K2" s="5" t="s">
        <v>43</v>
      </c>
      <c r="L2" s="5" t="s">
        <v>47</v>
      </c>
      <c r="M2" s="5" t="s">
        <v>48</v>
      </c>
      <c r="N2" s="4" t="s">
        <v>7</v>
      </c>
      <c r="O2" s="4" t="s">
        <v>8</v>
      </c>
      <c r="P2" s="4" t="s">
        <v>21</v>
      </c>
      <c r="Q2" s="4" t="s">
        <v>22</v>
      </c>
      <c r="R2" s="4" t="s">
        <v>16</v>
      </c>
      <c r="S2" s="4" t="s">
        <v>17</v>
      </c>
      <c r="T2" s="4" t="s">
        <v>10</v>
      </c>
      <c r="U2" s="4" t="s">
        <v>11</v>
      </c>
      <c r="V2" s="4" t="s">
        <v>12</v>
      </c>
      <c r="W2" s="4" t="s">
        <v>35</v>
      </c>
      <c r="X2" s="9"/>
      <c r="Y2" s="4" t="s">
        <v>54</v>
      </c>
      <c r="Z2" s="4" t="s">
        <v>55</v>
      </c>
    </row>
    <row r="3" spans="1:27" x14ac:dyDescent="0.25">
      <c r="H3" s="2">
        <f t="shared" ref="H3" si="0">2*6370*ASIN(SQRT(SIN(RADIANS(E3-B3)/2)*SIN(RADIANS(E3-B3)/2) + COS(RADIANS(E3))*COS(RADIANS(B3))*SIN(RADIANS(F3-C3)/2)*SIN(RADIANS(F3-C3)/2)))</f>
        <v>0</v>
      </c>
      <c r="I3" s="1"/>
      <c r="J3" s="1"/>
      <c r="K3" s="1"/>
      <c r="L3" s="1"/>
      <c r="M3" s="1"/>
    </row>
    <row r="4" spans="1:27" x14ac:dyDescent="0.25">
      <c r="H4" s="2"/>
      <c r="I4" s="1"/>
      <c r="J4" s="1"/>
      <c r="K4" s="1"/>
      <c r="L4" s="1"/>
      <c r="M4" s="1"/>
    </row>
    <row r="5" spans="1:27" x14ac:dyDescent="0.25">
      <c r="H5" s="2"/>
      <c r="I5" s="1"/>
      <c r="J5" s="1"/>
      <c r="K5" s="1"/>
      <c r="L5" s="1"/>
      <c r="M5" s="1"/>
    </row>
    <row r="6" spans="1:27" x14ac:dyDescent="0.25">
      <c r="H6" s="2"/>
      <c r="I6" s="1"/>
      <c r="J6" s="1"/>
      <c r="K6" s="1"/>
      <c r="L6" s="1"/>
      <c r="M6" s="1"/>
    </row>
    <row r="7" spans="1:27" x14ac:dyDescent="0.25">
      <c r="H7" s="2"/>
      <c r="I7" s="1"/>
      <c r="J7" s="1"/>
      <c r="K7" s="1"/>
      <c r="L7" s="1"/>
      <c r="M7" s="1"/>
    </row>
    <row r="8" spans="1:27" x14ac:dyDescent="0.25">
      <c r="H8" s="2"/>
      <c r="I8" s="1"/>
      <c r="J8" s="1"/>
      <c r="K8" s="1"/>
      <c r="L8" s="1"/>
      <c r="M8" s="1"/>
    </row>
    <row r="9" spans="1:27" x14ac:dyDescent="0.25">
      <c r="H9" s="2"/>
      <c r="I9" s="1"/>
      <c r="J9" s="1"/>
      <c r="K9" s="1"/>
      <c r="L9" s="1"/>
      <c r="M9" s="1"/>
    </row>
    <row r="10" spans="1:27" x14ac:dyDescent="0.25">
      <c r="H10" s="2"/>
      <c r="I10" s="1"/>
      <c r="J10" s="1"/>
      <c r="K10" s="1"/>
      <c r="L10" s="1"/>
      <c r="M10" s="1"/>
    </row>
    <row r="11" spans="1:27" x14ac:dyDescent="0.25">
      <c r="H11" s="2"/>
      <c r="I11" s="1"/>
      <c r="J11" s="1"/>
      <c r="K11" s="1"/>
      <c r="L11" s="1"/>
      <c r="M11" s="1"/>
    </row>
    <row r="12" spans="1:27" x14ac:dyDescent="0.25">
      <c r="H12" s="2"/>
      <c r="I12" s="1"/>
      <c r="J12" s="1"/>
      <c r="K12" s="1"/>
      <c r="L12" s="1"/>
      <c r="M12" s="1"/>
    </row>
    <row r="13" spans="1:27" x14ac:dyDescent="0.25">
      <c r="H13" s="2"/>
      <c r="I13" s="1"/>
      <c r="J13" s="1"/>
      <c r="K13" s="1"/>
      <c r="L13" s="1"/>
      <c r="M13" s="1"/>
    </row>
    <row r="14" spans="1:27" x14ac:dyDescent="0.25">
      <c r="H14" s="2"/>
      <c r="I14" s="1"/>
      <c r="J14" s="1"/>
      <c r="K14" s="1"/>
      <c r="L14" s="1"/>
      <c r="M14" s="1"/>
    </row>
  </sheetData>
  <mergeCells count="9">
    <mergeCell ref="X1:X2"/>
    <mergeCell ref="Y1:Z1"/>
    <mergeCell ref="B1:D1"/>
    <mergeCell ref="E1:H1"/>
    <mergeCell ref="N1:O1"/>
    <mergeCell ref="R1:S1"/>
    <mergeCell ref="T1:V1"/>
    <mergeCell ref="P1:Q1"/>
    <mergeCell ref="I1:M1"/>
  </mergeCells>
  <conditionalFormatting sqref="H3:H14">
    <cfRule type="colorScale" priority="1">
      <colorScale>
        <cfvo type="min"/>
        <cfvo type="percentile" val="50"/>
        <cfvo type="max"/>
        <color rgb="FF63BE7B"/>
        <color rgb="FFFCFCFF"/>
        <color rgb="FFF8696B"/>
      </colorScale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C860AB-45FF-4001-B438-BC557F0592A0}">
  <dimension ref="A1:X3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A2" sqref="A2"/>
    </sheetView>
  </sheetViews>
  <sheetFormatPr defaultRowHeight="15" x14ac:dyDescent="0.25"/>
  <cols>
    <col min="1" max="1" width="13.140625" bestFit="1" customWidth="1"/>
    <col min="3" max="3" width="9.85546875" bestFit="1" customWidth="1"/>
    <col min="4" max="4" width="10" bestFit="1" customWidth="1"/>
    <col min="9" max="9" width="15.42578125" bestFit="1" customWidth="1"/>
    <col min="10" max="10" width="15.42578125" customWidth="1"/>
    <col min="11" max="12" width="9.140625" customWidth="1"/>
    <col min="13" max="13" width="17.85546875" bestFit="1" customWidth="1"/>
    <col min="14" max="14" width="9.140625" customWidth="1"/>
    <col min="15" max="15" width="9.85546875" bestFit="1" customWidth="1"/>
    <col min="16" max="16" width="13.85546875" bestFit="1" customWidth="1"/>
    <col min="17" max="17" width="9.140625" customWidth="1"/>
    <col min="18" max="18" width="9.85546875" bestFit="1" customWidth="1"/>
    <col min="19" max="19" width="16.7109375" bestFit="1" customWidth="1"/>
    <col min="22" max="22" width="11.42578125" bestFit="1" customWidth="1"/>
    <col min="23" max="23" width="20.140625" bestFit="1" customWidth="1"/>
    <col min="24" max="24" width="100.5703125" customWidth="1"/>
  </cols>
  <sheetData>
    <row r="1" spans="1:24" s="3" customFormat="1" x14ac:dyDescent="0.25">
      <c r="A1" s="3" t="s">
        <v>0</v>
      </c>
      <c r="B1" s="6" t="s">
        <v>27</v>
      </c>
      <c r="C1" s="6"/>
      <c r="D1" s="6"/>
      <c r="E1" s="6" t="s">
        <v>6</v>
      </c>
      <c r="F1" s="6"/>
      <c r="G1" s="6" t="s">
        <v>15</v>
      </c>
      <c r="H1" s="6"/>
      <c r="I1" s="6" t="s">
        <v>41</v>
      </c>
      <c r="J1" s="6"/>
      <c r="K1" s="6"/>
      <c r="L1" s="6"/>
      <c r="M1" s="6"/>
      <c r="N1" s="6" t="s">
        <v>37</v>
      </c>
      <c r="O1" s="6"/>
      <c r="P1" s="6"/>
      <c r="Q1" s="6" t="s">
        <v>38</v>
      </c>
      <c r="R1" s="6"/>
      <c r="S1" s="6"/>
      <c r="T1" s="6" t="s">
        <v>30</v>
      </c>
      <c r="U1" s="6"/>
      <c r="V1" s="3" t="s">
        <v>34</v>
      </c>
      <c r="W1" s="3" t="s">
        <v>36</v>
      </c>
      <c r="X1" s="3" t="s">
        <v>13</v>
      </c>
    </row>
    <row r="2" spans="1:24" s="4" customFormat="1" ht="15.75" thickBot="1" x14ac:dyDescent="0.3">
      <c r="B2" s="4" t="s">
        <v>2</v>
      </c>
      <c r="C2" s="4" t="s">
        <v>3</v>
      </c>
      <c r="D2" s="4" t="s">
        <v>4</v>
      </c>
      <c r="E2" s="4" t="s">
        <v>7</v>
      </c>
      <c r="F2" s="4" t="s">
        <v>8</v>
      </c>
      <c r="G2" s="4" t="s">
        <v>16</v>
      </c>
      <c r="H2" s="4" t="s">
        <v>17</v>
      </c>
      <c r="I2" s="4" t="s">
        <v>33</v>
      </c>
      <c r="J2" s="4" t="s">
        <v>56</v>
      </c>
      <c r="K2" s="4" t="s">
        <v>28</v>
      </c>
      <c r="L2" s="4" t="s">
        <v>29</v>
      </c>
      <c r="M2" s="4" t="s">
        <v>32</v>
      </c>
      <c r="N2" s="4" t="s">
        <v>2</v>
      </c>
      <c r="O2" s="4" t="s">
        <v>3</v>
      </c>
      <c r="P2" s="4" t="s">
        <v>40</v>
      </c>
      <c r="Q2" s="4" t="s">
        <v>2</v>
      </c>
      <c r="R2" s="4" t="s">
        <v>3</v>
      </c>
      <c r="S2" s="4" t="s">
        <v>39</v>
      </c>
      <c r="T2" s="4" t="s">
        <v>31</v>
      </c>
      <c r="U2" s="4" t="s">
        <v>29</v>
      </c>
      <c r="V2" s="4" t="s">
        <v>35</v>
      </c>
    </row>
    <row r="3" spans="1:24" x14ac:dyDescent="0.25">
      <c r="P3" s="2">
        <f>2*6370*ASIN(SQRT(SIN(RADIANS(N3-B3)/2)*SIN(RADIANS(N3-B3)/2) + COS(RADIANS(N3))*COS(RADIANS(B3))*SIN(RADIANS(O3-C3)/2)*SIN(RADIANS(O3-C3)/2)))</f>
        <v>0</v>
      </c>
      <c r="S3" s="2">
        <f>2*6370*ASIN(SQRT(SIN(RADIANS(Q3-N3)/2)*SIN(RADIANS(Q3-N3)/2) + COS(RADIANS(Q3))*COS(RADIANS(N3))*SIN(RADIANS(R3-O3)/2)*SIN(RADIANS(R3-O3)/2)))</f>
        <v>0</v>
      </c>
    </row>
  </sheetData>
  <mergeCells count="7">
    <mergeCell ref="B1:D1"/>
    <mergeCell ref="E1:F1"/>
    <mergeCell ref="G1:H1"/>
    <mergeCell ref="N1:P1"/>
    <mergeCell ref="T1:U1"/>
    <mergeCell ref="Q1:S1"/>
    <mergeCell ref="I1:M1"/>
  </mergeCells>
  <conditionalFormatting sqref="P3">
    <cfRule type="colorScale" priority="3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S3">
    <cfRule type="colorScale" priority="1">
      <colorScale>
        <cfvo type="min"/>
        <cfvo type="percentile" val="50"/>
        <cfvo type="max"/>
        <color rgb="FF63BE7B"/>
        <color rgb="FFFCFCFF"/>
        <color rgb="FFF8696B"/>
      </colorScale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Locations</vt:lpstr>
      <vt:lpstr>Deployment Log</vt:lpstr>
      <vt:lpstr>Recovery Log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Katie Bosman</dc:creator>
  <cp:lastModifiedBy>Katie Bosman</cp:lastModifiedBy>
  <dcterms:created xsi:type="dcterms:W3CDTF">2021-11-08T16:49:10Z</dcterms:created>
  <dcterms:modified xsi:type="dcterms:W3CDTF">2022-11-01T13:47:47Z</dcterms:modified>
</cp:coreProperties>
</file>