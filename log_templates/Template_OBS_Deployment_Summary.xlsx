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ojects\QC script inputs - template\"/>
    </mc:Choice>
  </mc:AlternateContent>
  <xr:revisionPtr revIDLastSave="0" documentId="13_ncr:1_{88F31DD0-02BE-4DD6-BA97-0497A489D3DA}" xr6:coauthVersionLast="47" xr6:coauthVersionMax="47" xr10:uidLastSave="{00000000-0000-0000-0000-000000000000}"/>
  <bookViews>
    <workbookView xWindow="-38520" yWindow="-5475" windowWidth="38640" windowHeight="21120" xr2:uid="{40123D5C-8A56-48C8-83AB-25C6150FC8B9}"/>
  </bookViews>
  <sheets>
    <sheet name="Locations" sheetId="1" r:id="rId1"/>
    <sheet name="Deployment Log" sheetId="2" r:id="rId2"/>
    <sheet name="Recovery Log" sheetId="5" r:id="rId3"/>
    <sheet name="Summary for Recovery Ops" sheetId="6" r:id="rId4"/>
    <sheet name="Available OBS" sheetId="7" r:id="rId5"/>
    <sheet name="Orientation" sheetId="9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" l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4" i="1"/>
  <c r="AR5" i="1"/>
  <c r="AR8" i="1"/>
  <c r="AR13" i="1"/>
  <c r="AR16" i="1"/>
  <c r="AR21" i="1"/>
  <c r="AQ10" i="1"/>
  <c r="AQ18" i="1"/>
  <c r="AP8" i="1"/>
  <c r="AU8" i="1" s="1"/>
  <c r="AP16" i="1"/>
  <c r="AU16" i="1" s="1"/>
  <c r="AP4" i="1"/>
  <c r="AU4" i="1" s="1"/>
  <c r="AO12" i="1"/>
  <c r="AT12" i="1" s="1"/>
  <c r="AO20" i="1"/>
  <c r="AT20" i="1" s="1"/>
  <c r="AI4" i="1"/>
  <c r="AM5" i="1"/>
  <c r="AN5" i="1"/>
  <c r="AM6" i="1"/>
  <c r="AN6" i="1"/>
  <c r="AM7" i="1"/>
  <c r="AN7" i="1"/>
  <c r="AM8" i="1"/>
  <c r="AN8" i="1"/>
  <c r="AM9" i="1"/>
  <c r="AN9" i="1"/>
  <c r="AM10" i="1"/>
  <c r="AN10" i="1"/>
  <c r="AM11" i="1"/>
  <c r="AN11" i="1"/>
  <c r="AM12" i="1"/>
  <c r="AN12" i="1"/>
  <c r="AM13" i="1"/>
  <c r="AN13" i="1"/>
  <c r="AM14" i="1"/>
  <c r="AN14" i="1"/>
  <c r="AM15" i="1"/>
  <c r="AN15" i="1"/>
  <c r="AM16" i="1"/>
  <c r="AN16" i="1"/>
  <c r="AM17" i="1"/>
  <c r="AN17" i="1"/>
  <c r="AM18" i="1"/>
  <c r="AN18" i="1"/>
  <c r="AM19" i="1"/>
  <c r="AN19" i="1"/>
  <c r="AM20" i="1"/>
  <c r="AN20" i="1"/>
  <c r="AM21" i="1"/>
  <c r="AN21" i="1"/>
  <c r="AM22" i="1"/>
  <c r="AN22" i="1"/>
  <c r="AM23" i="1"/>
  <c r="AN23" i="1"/>
  <c r="AN4" i="1"/>
  <c r="AM4" i="1"/>
  <c r="AH5" i="1"/>
  <c r="AJ5" i="1"/>
  <c r="AK5" i="1" s="1"/>
  <c r="AH6" i="1"/>
  <c r="AJ6" i="1" s="1"/>
  <c r="AK6" i="1" s="1"/>
  <c r="AH7" i="1"/>
  <c r="AJ7" i="1" s="1"/>
  <c r="AH8" i="1"/>
  <c r="AJ8" i="1" s="1"/>
  <c r="AH9" i="1"/>
  <c r="AJ9" i="1"/>
  <c r="AL9" i="1" s="1"/>
  <c r="AH10" i="1"/>
  <c r="AJ10" i="1" s="1"/>
  <c r="AH11" i="1"/>
  <c r="AJ11" i="1" s="1"/>
  <c r="AH12" i="1"/>
  <c r="AJ12" i="1" s="1"/>
  <c r="AI12" i="1"/>
  <c r="AH13" i="1"/>
  <c r="AJ13" i="1"/>
  <c r="AK13" i="1" s="1"/>
  <c r="AH14" i="1"/>
  <c r="AJ14" i="1" s="1"/>
  <c r="AK14" i="1" s="1"/>
  <c r="AH15" i="1"/>
  <c r="AJ15" i="1"/>
  <c r="AK15" i="1" s="1"/>
  <c r="AH16" i="1"/>
  <c r="AJ16" i="1" s="1"/>
  <c r="AH17" i="1"/>
  <c r="AJ17" i="1" s="1"/>
  <c r="AH18" i="1"/>
  <c r="AJ18" i="1"/>
  <c r="AK18" i="1" s="1"/>
  <c r="AH19" i="1"/>
  <c r="AJ19" i="1" s="1"/>
  <c r="AH20" i="1"/>
  <c r="AJ20" i="1" s="1"/>
  <c r="AH21" i="1"/>
  <c r="AJ21" i="1" s="1"/>
  <c r="AH22" i="1"/>
  <c r="AJ22" i="1"/>
  <c r="AK22" i="1" s="1"/>
  <c r="AH23" i="1"/>
  <c r="AJ23" i="1"/>
  <c r="AK23" i="1" s="1"/>
  <c r="AL23" i="1"/>
  <c r="AJ4" i="1"/>
  <c r="AL4" i="1" s="1"/>
  <c r="AH4" i="1"/>
  <c r="AF23" i="1"/>
  <c r="AG23" i="1"/>
  <c r="AB23" i="1"/>
  <c r="AC23" i="1"/>
  <c r="AB5" i="1"/>
  <c r="AC5" i="1"/>
  <c r="AB6" i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C4" i="1"/>
  <c r="AB4" i="1"/>
  <c r="X23" i="1"/>
  <c r="Y23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Y4" i="1"/>
  <c r="X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  <c r="G5" i="1"/>
  <c r="AP5" i="1" s="1"/>
  <c r="AU5" i="1" s="1"/>
  <c r="H5" i="1"/>
  <c r="G6" i="1"/>
  <c r="AQ6" i="1" s="1"/>
  <c r="H6" i="1"/>
  <c r="AR6" i="1" s="1"/>
  <c r="G7" i="1"/>
  <c r="AQ7" i="1" s="1"/>
  <c r="H7" i="1"/>
  <c r="AR7" i="1" s="1"/>
  <c r="G8" i="1"/>
  <c r="AQ8" i="1" s="1"/>
  <c r="H8" i="1"/>
  <c r="G9" i="1"/>
  <c r="AP9" i="1" s="1"/>
  <c r="AU9" i="1" s="1"/>
  <c r="H9" i="1"/>
  <c r="AR9" i="1" s="1"/>
  <c r="G10" i="1"/>
  <c r="AI10" i="1" s="1"/>
  <c r="H10" i="1"/>
  <c r="AR10" i="1" s="1"/>
  <c r="G11" i="1"/>
  <c r="AP11" i="1" s="1"/>
  <c r="AU11" i="1" s="1"/>
  <c r="H11" i="1"/>
  <c r="AR11" i="1" s="1"/>
  <c r="G12" i="1"/>
  <c r="AP12" i="1" s="1"/>
  <c r="AU12" i="1" s="1"/>
  <c r="H12" i="1"/>
  <c r="AR12" i="1" s="1"/>
  <c r="G13" i="1"/>
  <c r="AI13" i="1" s="1"/>
  <c r="H13" i="1"/>
  <c r="G14" i="1"/>
  <c r="AQ14" i="1" s="1"/>
  <c r="H14" i="1"/>
  <c r="AR14" i="1" s="1"/>
  <c r="G15" i="1"/>
  <c r="AQ15" i="1" s="1"/>
  <c r="H15" i="1"/>
  <c r="AR15" i="1" s="1"/>
  <c r="G16" i="1"/>
  <c r="AI16" i="1" s="1"/>
  <c r="H16" i="1"/>
  <c r="G17" i="1"/>
  <c r="AP17" i="1" s="1"/>
  <c r="AU17" i="1" s="1"/>
  <c r="H17" i="1"/>
  <c r="AR17" i="1" s="1"/>
  <c r="G18" i="1"/>
  <c r="AP18" i="1" s="1"/>
  <c r="AU18" i="1" s="1"/>
  <c r="H18" i="1"/>
  <c r="AR18" i="1" s="1"/>
  <c r="G19" i="1"/>
  <c r="AP19" i="1" s="1"/>
  <c r="AU19" i="1" s="1"/>
  <c r="H19" i="1"/>
  <c r="AR19" i="1" s="1"/>
  <c r="G20" i="1"/>
  <c r="AP20" i="1" s="1"/>
  <c r="AU20" i="1" s="1"/>
  <c r="H20" i="1"/>
  <c r="AR20" i="1" s="1"/>
  <c r="G21" i="1"/>
  <c r="AP21" i="1" s="1"/>
  <c r="AU21" i="1" s="1"/>
  <c r="H21" i="1"/>
  <c r="G22" i="1"/>
  <c r="AQ22" i="1" s="1"/>
  <c r="H22" i="1"/>
  <c r="AR22" i="1" s="1"/>
  <c r="G23" i="1"/>
  <c r="AQ23" i="1" s="1"/>
  <c r="H23" i="1"/>
  <c r="AR23" i="1" s="1"/>
  <c r="H4" i="1"/>
  <c r="AR4" i="1" s="1"/>
  <c r="G4" i="1"/>
  <c r="AQ4" i="1" s="1"/>
  <c r="E5" i="1"/>
  <c r="F5" i="1"/>
  <c r="E6" i="1"/>
  <c r="F6" i="1"/>
  <c r="E7" i="1"/>
  <c r="F7" i="1"/>
  <c r="E8" i="1"/>
  <c r="F8" i="1"/>
  <c r="E9" i="1"/>
  <c r="AO9" i="1" s="1"/>
  <c r="AT9" i="1" s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AO17" i="1" s="1"/>
  <c r="AT17" i="1" s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4" i="1"/>
  <c r="F4" i="1"/>
  <c r="D5" i="1"/>
  <c r="AO5" i="1" s="1"/>
  <c r="AT5" i="1" s="1"/>
  <c r="D6" i="1"/>
  <c r="AO6" i="1" s="1"/>
  <c r="AT6" i="1" s="1"/>
  <c r="D7" i="1"/>
  <c r="AO7" i="1" s="1"/>
  <c r="AT7" i="1" s="1"/>
  <c r="D8" i="1"/>
  <c r="AO8" i="1" s="1"/>
  <c r="AT8" i="1" s="1"/>
  <c r="D9" i="1"/>
  <c r="D10" i="1"/>
  <c r="AO10" i="1" s="1"/>
  <c r="AT10" i="1" s="1"/>
  <c r="D11" i="1"/>
  <c r="AO11" i="1" s="1"/>
  <c r="AT11" i="1" s="1"/>
  <c r="D12" i="1"/>
  <c r="D13" i="1"/>
  <c r="AO13" i="1" s="1"/>
  <c r="AT13" i="1" s="1"/>
  <c r="D14" i="1"/>
  <c r="AO14" i="1" s="1"/>
  <c r="AT14" i="1" s="1"/>
  <c r="D15" i="1"/>
  <c r="AO15" i="1" s="1"/>
  <c r="AT15" i="1" s="1"/>
  <c r="D16" i="1"/>
  <c r="AO16" i="1" s="1"/>
  <c r="AT16" i="1" s="1"/>
  <c r="D17" i="1"/>
  <c r="D18" i="1"/>
  <c r="AO18" i="1" s="1"/>
  <c r="AT18" i="1" s="1"/>
  <c r="D19" i="1"/>
  <c r="AO19" i="1" s="1"/>
  <c r="AT19" i="1" s="1"/>
  <c r="D20" i="1"/>
  <c r="D21" i="1"/>
  <c r="AO21" i="1" s="1"/>
  <c r="AT21" i="1" s="1"/>
  <c r="D22" i="1"/>
  <c r="AO22" i="1" s="1"/>
  <c r="AT22" i="1" s="1"/>
  <c r="D23" i="1"/>
  <c r="AO23" i="1" s="1"/>
  <c r="AT23" i="1" s="1"/>
  <c r="D4" i="1"/>
  <c r="AO4" i="1" s="1"/>
  <c r="AT4" i="1" s="1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H4" i="5"/>
  <c r="G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F4" i="5"/>
  <c r="E4" i="5"/>
  <c r="AK21" i="1" l="1"/>
  <c r="AL21" i="1"/>
  <c r="AL20" i="1"/>
  <c r="AK20" i="1"/>
  <c r="AL17" i="1"/>
  <c r="AK17" i="1"/>
  <c r="AK12" i="1"/>
  <c r="AL12" i="1"/>
  <c r="AL7" i="1"/>
  <c r="AK7" i="1"/>
  <c r="AK10" i="1"/>
  <c r="AL10" i="1"/>
  <c r="AQ13" i="1"/>
  <c r="AK4" i="1"/>
  <c r="AI22" i="1"/>
  <c r="AI18" i="1"/>
  <c r="AL15" i="1"/>
  <c r="AL13" i="1"/>
  <c r="AK9" i="1"/>
  <c r="AI5" i="1"/>
  <c r="AP23" i="1"/>
  <c r="AU23" i="1" s="1"/>
  <c r="AP15" i="1"/>
  <c r="AU15" i="1" s="1"/>
  <c r="AP7" i="1"/>
  <c r="AU7" i="1" s="1"/>
  <c r="AQ20" i="1"/>
  <c r="AQ12" i="1"/>
  <c r="AQ21" i="1"/>
  <c r="AQ5" i="1"/>
  <c r="AI20" i="1"/>
  <c r="AI11" i="1"/>
  <c r="AI7" i="1"/>
  <c r="AP22" i="1"/>
  <c r="AU22" i="1" s="1"/>
  <c r="AP14" i="1"/>
  <c r="AU14" i="1" s="1"/>
  <c r="AP6" i="1"/>
  <c r="AU6" i="1" s="1"/>
  <c r="AQ19" i="1"/>
  <c r="AQ11" i="1"/>
  <c r="AI19" i="1"/>
  <c r="AI15" i="1"/>
  <c r="AQ17" i="1"/>
  <c r="AQ9" i="1"/>
  <c r="AP13" i="1"/>
  <c r="AU13" i="1" s="1"/>
  <c r="AI21" i="1"/>
  <c r="AI17" i="1"/>
  <c r="AI8" i="1"/>
  <c r="AI6" i="1"/>
  <c r="AQ16" i="1"/>
  <c r="AI23" i="1"/>
  <c r="AL18" i="1"/>
  <c r="AP10" i="1"/>
  <c r="AU10" i="1" s="1"/>
  <c r="AI9" i="1"/>
  <c r="AI14" i="1"/>
  <c r="AL5" i="1"/>
  <c r="AK19" i="1"/>
  <c r="AL19" i="1"/>
  <c r="AK8" i="1"/>
  <c r="AL8" i="1"/>
  <c r="AK11" i="1"/>
  <c r="AL11" i="1"/>
  <c r="AK16" i="1"/>
  <c r="AL16" i="1"/>
  <c r="AL22" i="1"/>
  <c r="AL14" i="1"/>
  <c r="AL6" i="1"/>
  <c r="AM17" i="9" l="1"/>
  <c r="T16" i="9"/>
  <c r="T17" i="9"/>
  <c r="S13" i="9"/>
  <c r="S17" i="9"/>
  <c r="R19" i="9"/>
  <c r="R20" i="9"/>
  <c r="AG5" i="9"/>
  <c r="AN5" i="9" s="1"/>
  <c r="AH5" i="9"/>
  <c r="AP5" i="9" s="1"/>
  <c r="AG10" i="9"/>
  <c r="AH10" i="9"/>
  <c r="AQ16" i="9"/>
  <c r="AG17" i="9"/>
  <c r="AG21" i="9"/>
  <c r="X5" i="9"/>
  <c r="AD5" i="9" s="1"/>
  <c r="Y5" i="9"/>
  <c r="Z5" i="9"/>
  <c r="AF5" i="9" s="1"/>
  <c r="AA5" i="9"/>
  <c r="AB5" i="9"/>
  <c r="AC5" i="9"/>
  <c r="AI5" i="9" s="1"/>
  <c r="AE5" i="9"/>
  <c r="X6" i="9"/>
  <c r="Y6" i="9"/>
  <c r="AK6" i="9" s="1"/>
  <c r="Z6" i="9"/>
  <c r="AA6" i="9"/>
  <c r="AG6" i="9" s="1"/>
  <c r="AB6" i="9"/>
  <c r="AC6" i="9"/>
  <c r="AM6" i="9" s="1"/>
  <c r="AD6" i="9"/>
  <c r="AF6" i="9"/>
  <c r="X7" i="9"/>
  <c r="Y7" i="9"/>
  <c r="AK7" i="9" s="1"/>
  <c r="Z7" i="9"/>
  <c r="AA7" i="9"/>
  <c r="AB7" i="9"/>
  <c r="AC7" i="9"/>
  <c r="AI7" i="9" s="1"/>
  <c r="AF7" i="9"/>
  <c r="X8" i="9"/>
  <c r="AJ8" i="9" s="1"/>
  <c r="Y8" i="9"/>
  <c r="Z8" i="9"/>
  <c r="AF8" i="9" s="1"/>
  <c r="AA8" i="9"/>
  <c r="AB8" i="9"/>
  <c r="AL8" i="9" s="1"/>
  <c r="AC8" i="9"/>
  <c r="AI8" i="9" s="1"/>
  <c r="AE8" i="9"/>
  <c r="X9" i="9"/>
  <c r="AD9" i="9" s="1"/>
  <c r="Y9" i="9"/>
  <c r="AE9" i="9" s="1"/>
  <c r="Z9" i="9"/>
  <c r="AF9" i="9" s="1"/>
  <c r="AA9" i="9"/>
  <c r="AB9" i="9"/>
  <c r="AH9" i="9" s="1"/>
  <c r="AP9" i="9" s="1"/>
  <c r="AC9" i="9"/>
  <c r="AI9" i="9" s="1"/>
  <c r="X10" i="9"/>
  <c r="AD10" i="9" s="1"/>
  <c r="Y10" i="9"/>
  <c r="AE10" i="9" s="1"/>
  <c r="Z10" i="9"/>
  <c r="AF10" i="9" s="1"/>
  <c r="AA10" i="9"/>
  <c r="AB10" i="9"/>
  <c r="AC10" i="9"/>
  <c r="X11" i="9"/>
  <c r="AD11" i="9" s="1"/>
  <c r="Y11" i="9"/>
  <c r="AE11" i="9" s="1"/>
  <c r="Z11" i="9"/>
  <c r="AA11" i="9"/>
  <c r="AM11" i="9" s="1"/>
  <c r="AB11" i="9"/>
  <c r="AH11" i="9" s="1"/>
  <c r="AC11" i="9"/>
  <c r="AF11" i="9"/>
  <c r="X12" i="9"/>
  <c r="AD12" i="9" s="1"/>
  <c r="Y12" i="9"/>
  <c r="AE12" i="9" s="1"/>
  <c r="Z12" i="9"/>
  <c r="AA12" i="9"/>
  <c r="AB12" i="9"/>
  <c r="AC12" i="9"/>
  <c r="AI12" i="9" s="1"/>
  <c r="X13" i="9"/>
  <c r="Y13" i="9"/>
  <c r="AK13" i="9" s="1"/>
  <c r="Z13" i="9"/>
  <c r="AA13" i="9"/>
  <c r="AG13" i="9" s="1"/>
  <c r="AB13" i="9"/>
  <c r="AH13" i="9" s="1"/>
  <c r="AC13" i="9"/>
  <c r="AI13" i="9" s="1"/>
  <c r="AD13" i="9"/>
  <c r="AE13" i="9"/>
  <c r="AF13" i="9"/>
  <c r="X14" i="9"/>
  <c r="Y14" i="9"/>
  <c r="AE14" i="9" s="1"/>
  <c r="Z14" i="9"/>
  <c r="AF14" i="9" s="1"/>
  <c r="AA14" i="9"/>
  <c r="AG14" i="9" s="1"/>
  <c r="AB14" i="9"/>
  <c r="AH14" i="9" s="1"/>
  <c r="AC14" i="9"/>
  <c r="AI14" i="9" s="1"/>
  <c r="AD14" i="9"/>
  <c r="X15" i="9"/>
  <c r="AJ15" i="9" s="1"/>
  <c r="Y15" i="9"/>
  <c r="Z15" i="9"/>
  <c r="AA15" i="9"/>
  <c r="AG15" i="9" s="1"/>
  <c r="AB15" i="9"/>
  <c r="AH15" i="9" s="1"/>
  <c r="AC15" i="9"/>
  <c r="AI15" i="9" s="1"/>
  <c r="AD15" i="9"/>
  <c r="AF15" i="9"/>
  <c r="X16" i="9"/>
  <c r="AD16" i="9" s="1"/>
  <c r="Y16" i="9"/>
  <c r="AK16" i="9" s="1"/>
  <c r="Z16" i="9"/>
  <c r="AF16" i="9" s="1"/>
  <c r="AA16" i="9"/>
  <c r="AG16" i="9" s="1"/>
  <c r="AB16" i="9"/>
  <c r="AH16" i="9" s="1"/>
  <c r="AC16" i="9"/>
  <c r="AI16" i="9" s="1"/>
  <c r="AE16" i="9"/>
  <c r="X17" i="9"/>
  <c r="Y17" i="9"/>
  <c r="AE17" i="9" s="1"/>
  <c r="Z17" i="9"/>
  <c r="AF17" i="9" s="1"/>
  <c r="AA17" i="9"/>
  <c r="AB17" i="9"/>
  <c r="AH17" i="9" s="1"/>
  <c r="AC17" i="9"/>
  <c r="AI17" i="9" s="1"/>
  <c r="X18" i="9"/>
  <c r="AD18" i="9" s="1"/>
  <c r="Y18" i="9"/>
  <c r="AE18" i="9" s="1"/>
  <c r="Z18" i="9"/>
  <c r="AF18" i="9" s="1"/>
  <c r="AA18" i="9"/>
  <c r="AG18" i="9" s="1"/>
  <c r="AB18" i="9"/>
  <c r="AL18" i="9" s="1"/>
  <c r="AC18" i="9"/>
  <c r="X19" i="9"/>
  <c r="AD19" i="9" s="1"/>
  <c r="Y19" i="9"/>
  <c r="AE19" i="9" s="1"/>
  <c r="Z19" i="9"/>
  <c r="AA19" i="9"/>
  <c r="AB19" i="9"/>
  <c r="AL19" i="9" s="1"/>
  <c r="AC19" i="9"/>
  <c r="AI19" i="9" s="1"/>
  <c r="AF19" i="9"/>
  <c r="X20" i="9"/>
  <c r="AD20" i="9" s="1"/>
  <c r="Y20" i="9"/>
  <c r="AE20" i="9" s="1"/>
  <c r="Z20" i="9"/>
  <c r="AA20" i="9"/>
  <c r="AG20" i="9" s="1"/>
  <c r="AO20" i="9" s="1"/>
  <c r="AB20" i="9"/>
  <c r="AH20" i="9" s="1"/>
  <c r="AC20" i="9"/>
  <c r="AI20" i="9" s="1"/>
  <c r="AN20" i="9" s="1"/>
  <c r="AF20" i="9"/>
  <c r="X21" i="9"/>
  <c r="Y21" i="9"/>
  <c r="AJ21" i="9" s="1"/>
  <c r="Z21" i="9"/>
  <c r="AF21" i="9" s="1"/>
  <c r="AA21" i="9"/>
  <c r="AB21" i="9"/>
  <c r="AH21" i="9" s="1"/>
  <c r="AC21" i="9"/>
  <c r="AI21" i="9" s="1"/>
  <c r="AD21" i="9"/>
  <c r="AE21" i="9"/>
  <c r="X22" i="9"/>
  <c r="AD22" i="9" s="1"/>
  <c r="Y22" i="9"/>
  <c r="AE22" i="9" s="1"/>
  <c r="Z22" i="9"/>
  <c r="AF22" i="9" s="1"/>
  <c r="AA22" i="9"/>
  <c r="AG22" i="9" s="1"/>
  <c r="AB22" i="9"/>
  <c r="AH22" i="9" s="1"/>
  <c r="AC22" i="9"/>
  <c r="AI22" i="9" s="1"/>
  <c r="AC4" i="9"/>
  <c r="AI4" i="9" s="1"/>
  <c r="AB4" i="9"/>
  <c r="AH4" i="9" s="1"/>
  <c r="AA4" i="9"/>
  <c r="Z4" i="9"/>
  <c r="AF4" i="9" s="1"/>
  <c r="Y4" i="9"/>
  <c r="AK4" i="9" s="1"/>
  <c r="X4" i="9"/>
  <c r="AD4" i="9" s="1"/>
  <c r="K8" i="9"/>
  <c r="O8" i="9"/>
  <c r="W8" i="9" s="1"/>
  <c r="P8" i="9"/>
  <c r="M15" i="9"/>
  <c r="K17" i="9"/>
  <c r="L17" i="9"/>
  <c r="P17" i="9"/>
  <c r="K19" i="9"/>
  <c r="L19" i="9"/>
  <c r="L21" i="9"/>
  <c r="P21" i="9"/>
  <c r="I5" i="9"/>
  <c r="O5" i="9" s="1"/>
  <c r="J5" i="9"/>
  <c r="P5" i="9" s="1"/>
  <c r="I6" i="9"/>
  <c r="O6" i="9" s="1"/>
  <c r="J6" i="9"/>
  <c r="P6" i="9" s="1"/>
  <c r="I7" i="9"/>
  <c r="O7" i="9" s="1"/>
  <c r="J7" i="9"/>
  <c r="P7" i="9" s="1"/>
  <c r="I8" i="9"/>
  <c r="S8" i="9" s="1"/>
  <c r="J8" i="9"/>
  <c r="I9" i="9"/>
  <c r="S9" i="9" s="1"/>
  <c r="J9" i="9"/>
  <c r="P9" i="9" s="1"/>
  <c r="I10" i="9"/>
  <c r="O10" i="9" s="1"/>
  <c r="J10" i="9"/>
  <c r="P10" i="9" s="1"/>
  <c r="I11" i="9"/>
  <c r="S11" i="9" s="1"/>
  <c r="J11" i="9"/>
  <c r="P11" i="9" s="1"/>
  <c r="I12" i="9"/>
  <c r="O12" i="9" s="1"/>
  <c r="W12" i="9" s="1"/>
  <c r="J12" i="9"/>
  <c r="P12" i="9" s="1"/>
  <c r="I13" i="9"/>
  <c r="O13" i="9" s="1"/>
  <c r="W13" i="9" s="1"/>
  <c r="J13" i="9"/>
  <c r="P13" i="9" s="1"/>
  <c r="I14" i="9"/>
  <c r="O14" i="9" s="1"/>
  <c r="J14" i="9"/>
  <c r="P14" i="9" s="1"/>
  <c r="I15" i="9"/>
  <c r="O15" i="9" s="1"/>
  <c r="J15" i="9"/>
  <c r="P15" i="9" s="1"/>
  <c r="I16" i="9"/>
  <c r="O16" i="9" s="1"/>
  <c r="W16" i="9" s="1"/>
  <c r="J16" i="9"/>
  <c r="P16" i="9" s="1"/>
  <c r="I17" i="9"/>
  <c r="O17" i="9" s="1"/>
  <c r="W17" i="9" s="1"/>
  <c r="J17" i="9"/>
  <c r="I18" i="9"/>
  <c r="S18" i="9" s="1"/>
  <c r="J18" i="9"/>
  <c r="P18" i="9" s="1"/>
  <c r="I19" i="9"/>
  <c r="S19" i="9" s="1"/>
  <c r="J19" i="9"/>
  <c r="P19" i="9" s="1"/>
  <c r="I20" i="9"/>
  <c r="O20" i="9" s="1"/>
  <c r="W20" i="9" s="1"/>
  <c r="J20" i="9"/>
  <c r="P20" i="9" s="1"/>
  <c r="I21" i="9"/>
  <c r="O21" i="9" s="1"/>
  <c r="J21" i="9"/>
  <c r="I22" i="9"/>
  <c r="O22" i="9" s="1"/>
  <c r="J22" i="9"/>
  <c r="P22" i="9" s="1"/>
  <c r="H5" i="9"/>
  <c r="T5" i="9" s="1"/>
  <c r="H6" i="9"/>
  <c r="H7" i="9"/>
  <c r="T7" i="9" s="1"/>
  <c r="H8" i="9"/>
  <c r="H9" i="9"/>
  <c r="N9" i="9" s="1"/>
  <c r="H10" i="9"/>
  <c r="N10" i="9" s="1"/>
  <c r="H11" i="9"/>
  <c r="N11" i="9" s="1"/>
  <c r="H12" i="9"/>
  <c r="N12" i="9" s="1"/>
  <c r="U12" i="9" s="1"/>
  <c r="H13" i="9"/>
  <c r="N13" i="9" s="1"/>
  <c r="H14" i="9"/>
  <c r="N14" i="9" s="1"/>
  <c r="H15" i="9"/>
  <c r="N15" i="9" s="1"/>
  <c r="V15" i="9" s="1"/>
  <c r="H16" i="9"/>
  <c r="N16" i="9" s="1"/>
  <c r="V16" i="9" s="1"/>
  <c r="H17" i="9"/>
  <c r="N17" i="9" s="1"/>
  <c r="H18" i="9"/>
  <c r="T18" i="9" s="1"/>
  <c r="H19" i="9"/>
  <c r="T19" i="9" s="1"/>
  <c r="H20" i="9"/>
  <c r="N20" i="9" s="1"/>
  <c r="H21" i="9"/>
  <c r="N21" i="9" s="1"/>
  <c r="H22" i="9"/>
  <c r="N22" i="9" s="1"/>
  <c r="G5" i="9"/>
  <c r="M5" i="9" s="1"/>
  <c r="G6" i="9"/>
  <c r="M6" i="9" s="1"/>
  <c r="G7" i="9"/>
  <c r="M7" i="9" s="1"/>
  <c r="G8" i="9"/>
  <c r="M8" i="9" s="1"/>
  <c r="G9" i="9"/>
  <c r="M9" i="9" s="1"/>
  <c r="G10" i="9"/>
  <c r="M10" i="9" s="1"/>
  <c r="G11" i="9"/>
  <c r="M11" i="9" s="1"/>
  <c r="G12" i="9"/>
  <c r="M12" i="9" s="1"/>
  <c r="G13" i="9"/>
  <c r="M13" i="9" s="1"/>
  <c r="G14" i="9"/>
  <c r="M14" i="9" s="1"/>
  <c r="G15" i="9"/>
  <c r="G16" i="9"/>
  <c r="M16" i="9" s="1"/>
  <c r="G17" i="9"/>
  <c r="M17" i="9" s="1"/>
  <c r="G18" i="9"/>
  <c r="M18" i="9" s="1"/>
  <c r="G19" i="9"/>
  <c r="M19" i="9" s="1"/>
  <c r="G20" i="9"/>
  <c r="M20" i="9" s="1"/>
  <c r="G21" i="9"/>
  <c r="G22" i="9"/>
  <c r="M22" i="9" s="1"/>
  <c r="F22" i="9"/>
  <c r="L22" i="9" s="1"/>
  <c r="F5" i="9"/>
  <c r="L5" i="9" s="1"/>
  <c r="F6" i="9"/>
  <c r="R6" i="9" s="1"/>
  <c r="F7" i="9"/>
  <c r="R7" i="9" s="1"/>
  <c r="F8" i="9"/>
  <c r="L8" i="9" s="1"/>
  <c r="F9" i="9"/>
  <c r="F10" i="9"/>
  <c r="F11" i="9"/>
  <c r="F12" i="9"/>
  <c r="F13" i="9"/>
  <c r="L13" i="9" s="1"/>
  <c r="F14" i="9"/>
  <c r="L14" i="9" s="1"/>
  <c r="F15" i="9"/>
  <c r="L15" i="9" s="1"/>
  <c r="F16" i="9"/>
  <c r="L16" i="9" s="1"/>
  <c r="F17" i="9"/>
  <c r="F18" i="9"/>
  <c r="L18" i="9" s="1"/>
  <c r="F19" i="9"/>
  <c r="F20" i="9"/>
  <c r="L20" i="9" s="1"/>
  <c r="F21" i="9"/>
  <c r="R21" i="9" s="1"/>
  <c r="E5" i="9"/>
  <c r="K5" i="9" s="1"/>
  <c r="E6" i="9"/>
  <c r="Q6" i="9" s="1"/>
  <c r="E7" i="9"/>
  <c r="K7" i="9" s="1"/>
  <c r="E8" i="9"/>
  <c r="E9" i="9"/>
  <c r="K9" i="9" s="1"/>
  <c r="E10" i="9"/>
  <c r="K10" i="9" s="1"/>
  <c r="E11" i="9"/>
  <c r="K11" i="9" s="1"/>
  <c r="E12" i="9"/>
  <c r="K12" i="9" s="1"/>
  <c r="E13" i="9"/>
  <c r="Q13" i="9" s="1"/>
  <c r="E14" i="9"/>
  <c r="Q14" i="9" s="1"/>
  <c r="E15" i="9"/>
  <c r="E16" i="9"/>
  <c r="E17" i="9"/>
  <c r="E18" i="9"/>
  <c r="E19" i="9"/>
  <c r="Q19" i="9" s="1"/>
  <c r="E20" i="9"/>
  <c r="K20" i="9" s="1"/>
  <c r="E21" i="9"/>
  <c r="K21" i="9" s="1"/>
  <c r="E22" i="9"/>
  <c r="K22" i="9" s="1"/>
  <c r="J4" i="9"/>
  <c r="P4" i="9" s="1"/>
  <c r="I4" i="9"/>
  <c r="H4" i="9"/>
  <c r="N4" i="9" s="1"/>
  <c r="V4" i="9" s="1"/>
  <c r="G4" i="9"/>
  <c r="M4" i="9" s="1"/>
  <c r="F4" i="9"/>
  <c r="L4" i="9" s="1"/>
  <c r="E4" i="9"/>
  <c r="K4" i="9" s="1"/>
  <c r="AP20" i="9" l="1"/>
  <c r="AP17" i="9"/>
  <c r="AP22" i="9"/>
  <c r="AM21" i="9"/>
  <c r="AM12" i="9"/>
  <c r="AD8" i="9"/>
  <c r="AM5" i="9"/>
  <c r="AK21" i="9"/>
  <c r="AL17" i="9"/>
  <c r="AL9" i="9"/>
  <c r="AN17" i="9"/>
  <c r="AP16" i="9"/>
  <c r="AP15" i="9"/>
  <c r="AP13" i="9"/>
  <c r="AJ12" i="9"/>
  <c r="AL7" i="9"/>
  <c r="AL6" i="9"/>
  <c r="AM15" i="9"/>
  <c r="AM20" i="9"/>
  <c r="AM7" i="9"/>
  <c r="AH7" i="9"/>
  <c r="AP7" i="9" s="1"/>
  <c r="AL20" i="9"/>
  <c r="AO5" i="9"/>
  <c r="AP10" i="9"/>
  <c r="AO17" i="9"/>
  <c r="AL21" i="9"/>
  <c r="AP4" i="9"/>
  <c r="AM18" i="9"/>
  <c r="AL10" i="9"/>
  <c r="AM9" i="9"/>
  <c r="AM8" i="9"/>
  <c r="AJ5" i="9"/>
  <c r="AG7" i="9"/>
  <c r="AK20" i="9"/>
  <c r="AK12" i="9"/>
  <c r="AJ10" i="9"/>
  <c r="AM19" i="9"/>
  <c r="AG11" i="9"/>
  <c r="AO11" i="9" s="1"/>
  <c r="AK18" i="9"/>
  <c r="AL5" i="9"/>
  <c r="AP21" i="9"/>
  <c r="AL12" i="9"/>
  <c r="AJ13" i="9"/>
  <c r="AL11" i="9"/>
  <c r="AM10" i="9"/>
  <c r="AK8" i="9"/>
  <c r="AJ7" i="9"/>
  <c r="AJ6" i="9"/>
  <c r="AI10" i="9"/>
  <c r="AN10" i="9" s="1"/>
  <c r="AJ11" i="9"/>
  <c r="W10" i="9"/>
  <c r="W22" i="9"/>
  <c r="O18" i="9"/>
  <c r="W18" i="9" s="1"/>
  <c r="N7" i="9"/>
  <c r="Q9" i="9"/>
  <c r="R18" i="9"/>
  <c r="S6" i="9"/>
  <c r="Q12" i="9"/>
  <c r="W21" i="9"/>
  <c r="N18" i="9"/>
  <c r="S22" i="9"/>
  <c r="T22" i="9"/>
  <c r="S4" i="9"/>
  <c r="Q18" i="9"/>
  <c r="R11" i="9"/>
  <c r="T8" i="9"/>
  <c r="S16" i="9"/>
  <c r="O19" i="9"/>
  <c r="W19" i="9" s="1"/>
  <c r="L7" i="9"/>
  <c r="Q20" i="9"/>
  <c r="S21" i="9"/>
  <c r="T21" i="9"/>
  <c r="W6" i="9"/>
  <c r="K13" i="9"/>
  <c r="Q17" i="9"/>
  <c r="R10" i="9"/>
  <c r="Q21" i="9"/>
  <c r="N19" i="9"/>
  <c r="AQ15" i="9"/>
  <c r="Q22" i="9"/>
  <c r="S20" i="9"/>
  <c r="T20" i="9"/>
  <c r="Q16" i="9"/>
  <c r="Q8" i="9"/>
  <c r="R17" i="9"/>
  <c r="R9" i="9"/>
  <c r="T6" i="9"/>
  <c r="K18" i="9"/>
  <c r="O9" i="9"/>
  <c r="W9" i="9" s="1"/>
  <c r="AQ22" i="9"/>
  <c r="R22" i="9"/>
  <c r="S10" i="9"/>
  <c r="Q15" i="9"/>
  <c r="Q7" i="9"/>
  <c r="R16" i="9"/>
  <c r="K6" i="9"/>
  <c r="AL4" i="9"/>
  <c r="AM4" i="9"/>
  <c r="Q4" i="9"/>
  <c r="T4" i="9"/>
  <c r="R4" i="9"/>
  <c r="V17" i="9"/>
  <c r="U17" i="9"/>
  <c r="W14" i="9"/>
  <c r="W7" i="9"/>
  <c r="U10" i="9"/>
  <c r="V10" i="9"/>
  <c r="U7" i="9"/>
  <c r="W15" i="9"/>
  <c r="U15" i="9"/>
  <c r="W5" i="9"/>
  <c r="V20" i="9"/>
  <c r="U20" i="9"/>
  <c r="U14" i="9"/>
  <c r="V14" i="9"/>
  <c r="V21" i="9"/>
  <c r="U21" i="9"/>
  <c r="V22" i="9"/>
  <c r="U22" i="9"/>
  <c r="U13" i="9"/>
  <c r="V13" i="9"/>
  <c r="K16" i="9"/>
  <c r="L6" i="9"/>
  <c r="R15" i="9"/>
  <c r="R14" i="9"/>
  <c r="R13" i="9"/>
  <c r="N5" i="9"/>
  <c r="R12" i="9"/>
  <c r="R8" i="9"/>
  <c r="AQ5" i="9"/>
  <c r="AQ14" i="9"/>
  <c r="AQ13" i="9"/>
  <c r="N6" i="9"/>
  <c r="T14" i="9"/>
  <c r="T13" i="9"/>
  <c r="K15" i="9"/>
  <c r="T12" i="9"/>
  <c r="T11" i="9"/>
  <c r="M21" i="9"/>
  <c r="T10" i="9"/>
  <c r="K14" i="9"/>
  <c r="AQ6" i="9"/>
  <c r="R5" i="9"/>
  <c r="V12" i="9"/>
  <c r="V11" i="9"/>
  <c r="U16" i="9"/>
  <c r="V9" i="9"/>
  <c r="AQ17" i="9"/>
  <c r="O11" i="9"/>
  <c r="W11" i="9" s="1"/>
  <c r="Q5" i="9"/>
  <c r="L10" i="9"/>
  <c r="Q11" i="9"/>
  <c r="S14" i="9"/>
  <c r="V7" i="9"/>
  <c r="S12" i="9"/>
  <c r="N8" i="9"/>
  <c r="AQ21" i="9"/>
  <c r="Q10" i="9"/>
  <c r="S15" i="9"/>
  <c r="S7" i="9"/>
  <c r="S5" i="9"/>
  <c r="T15" i="9"/>
  <c r="T9" i="9"/>
  <c r="AN21" i="9"/>
  <c r="AN15" i="9"/>
  <c r="AO15" i="9"/>
  <c r="AN22" i="9"/>
  <c r="AO22" i="9"/>
  <c r="AP14" i="9"/>
  <c r="AN14" i="9"/>
  <c r="AO14" i="9"/>
  <c r="AN16" i="9"/>
  <c r="AO16" i="9"/>
  <c r="AN13" i="9"/>
  <c r="AO13" i="9"/>
  <c r="AN7" i="9"/>
  <c r="AE4" i="9"/>
  <c r="AL22" i="9"/>
  <c r="AD17" i="9"/>
  <c r="AJ17" i="9"/>
  <c r="AQ19" i="9"/>
  <c r="AK5" i="9"/>
  <c r="AK25" i="9" s="1"/>
  <c r="AD7" i="9"/>
  <c r="AD24" i="9" s="1"/>
  <c r="AH19" i="9"/>
  <c r="AP19" i="9" s="1"/>
  <c r="AK22" i="9"/>
  <c r="AM16" i="9"/>
  <c r="AO10" i="9"/>
  <c r="AG19" i="9"/>
  <c r="AH8" i="9"/>
  <c r="AP8" i="9" s="1"/>
  <c r="AJ22" i="9"/>
  <c r="AL16" i="9"/>
  <c r="AK17" i="9"/>
  <c r="AF12" i="9"/>
  <c r="AQ18" i="9"/>
  <c r="AG8" i="9"/>
  <c r="AQ7" i="9"/>
  <c r="AO21" i="9"/>
  <c r="AG9" i="9"/>
  <c r="AM22" i="9"/>
  <c r="AE7" i="9"/>
  <c r="AQ8" i="9"/>
  <c r="AI18" i="9"/>
  <c r="AJ16" i="9"/>
  <c r="AH18" i="9"/>
  <c r="AK10" i="9"/>
  <c r="AE6" i="9"/>
  <c r="AI6" i="9"/>
  <c r="AL15" i="9"/>
  <c r="AH6" i="9"/>
  <c r="AP6" i="9" s="1"/>
  <c r="AK15" i="9"/>
  <c r="AK9" i="9"/>
  <c r="AJ9" i="9"/>
  <c r="AJ20" i="9"/>
  <c r="AL14" i="9"/>
  <c r="AE15" i="9"/>
  <c r="AK14" i="9"/>
  <c r="AM14" i="9"/>
  <c r="AJ14" i="9"/>
  <c r="AK19" i="9"/>
  <c r="AM13" i="9"/>
  <c r="AO7" i="9"/>
  <c r="AJ19" i="9"/>
  <c r="AL13" i="9"/>
  <c r="AO18" i="9"/>
  <c r="AG4" i="9"/>
  <c r="AH12" i="9"/>
  <c r="AP12" i="9" s="1"/>
  <c r="AG12" i="9"/>
  <c r="AJ4" i="9"/>
  <c r="AO6" i="9"/>
  <c r="AI11" i="9"/>
  <c r="AJ18" i="9"/>
  <c r="AQ10" i="9"/>
  <c r="AP11" i="9"/>
  <c r="AQ20" i="9"/>
  <c r="AK11" i="9"/>
  <c r="L12" i="9"/>
  <c r="AQ12" i="9"/>
  <c r="AQ11" i="9"/>
  <c r="L11" i="9"/>
  <c r="L9" i="9"/>
  <c r="AQ9" i="9"/>
  <c r="O4" i="9"/>
  <c r="W4" i="9" s="1"/>
  <c r="AQ4" i="9"/>
  <c r="AP18" i="9" l="1"/>
  <c r="AN6" i="9"/>
  <c r="AN11" i="9"/>
  <c r="U19" i="9"/>
  <c r="V19" i="9"/>
  <c r="U18" i="9"/>
  <c r="V18" i="9"/>
  <c r="U11" i="9"/>
  <c r="U9" i="9"/>
  <c r="U5" i="9"/>
  <c r="V5" i="9"/>
  <c r="V24" i="9" s="1"/>
  <c r="V6" i="9"/>
  <c r="U6" i="9"/>
  <c r="U4" i="9"/>
  <c r="U8" i="9"/>
  <c r="V8" i="9"/>
  <c r="AN9" i="9"/>
  <c r="AO9" i="9"/>
  <c r="AO25" i="9" s="1"/>
  <c r="AN12" i="9"/>
  <c r="AO12" i="9"/>
  <c r="AN8" i="9"/>
  <c r="AO8" i="9"/>
  <c r="AO4" i="9"/>
  <c r="AN4" i="9"/>
  <c r="AN25" i="9" s="1"/>
  <c r="AN19" i="9"/>
  <c r="AO19" i="9"/>
  <c r="AN18" i="9"/>
  <c r="AP25" i="9"/>
  <c r="AP24" i="9"/>
  <c r="AJ25" i="9"/>
  <c r="S25" i="9"/>
  <c r="AJ24" i="9"/>
  <c r="AL24" i="9"/>
  <c r="AD25" i="9"/>
  <c r="AL25" i="9"/>
  <c r="W24" i="9"/>
  <c r="Q25" i="9"/>
  <c r="Q24" i="9"/>
  <c r="AM25" i="9"/>
  <c r="AM24" i="9"/>
  <c r="T24" i="9"/>
  <c r="T25" i="9"/>
  <c r="R25" i="9"/>
  <c r="R24" i="9"/>
  <c r="AK24" i="9"/>
  <c r="W25" i="9"/>
  <c r="S24" i="9"/>
  <c r="K25" i="9"/>
  <c r="K24" i="9"/>
  <c r="AO24" i="9" l="1"/>
  <c r="AN24" i="9"/>
  <c r="V25" i="9"/>
  <c r="U25" i="9"/>
  <c r="U24" i="9"/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3" i="6"/>
  <c r="N14" i="1" l="1"/>
  <c r="W14" i="1" s="1"/>
  <c r="M14" i="1"/>
  <c r="N4" i="1"/>
  <c r="C5" i="2"/>
  <c r="K5" i="1" s="1"/>
  <c r="C6" i="2"/>
  <c r="K6" i="1" s="1"/>
  <c r="C7" i="2"/>
  <c r="C8" i="2"/>
  <c r="C9" i="2"/>
  <c r="K9" i="1" s="1"/>
  <c r="C10" i="2"/>
  <c r="C11" i="2"/>
  <c r="K11" i="1" s="1"/>
  <c r="C12" i="2"/>
  <c r="K12" i="1" s="1"/>
  <c r="C13" i="2"/>
  <c r="K13" i="1" s="1"/>
  <c r="C14" i="2"/>
  <c r="K14" i="1" s="1"/>
  <c r="C15" i="2"/>
  <c r="C16" i="2"/>
  <c r="K16" i="1" s="1"/>
  <c r="C17" i="2"/>
  <c r="K17" i="1" s="1"/>
  <c r="C18" i="2"/>
  <c r="K18" i="1" s="1"/>
  <c r="C19" i="2"/>
  <c r="K19" i="1" s="1"/>
  <c r="C20" i="2"/>
  <c r="K20" i="1" s="1"/>
  <c r="C21" i="2"/>
  <c r="K21" i="1" s="1"/>
  <c r="C22" i="2"/>
  <c r="C23" i="2"/>
  <c r="K23" i="1" s="1"/>
  <c r="C4" i="2"/>
  <c r="B5" i="2"/>
  <c r="J5" i="1" s="1"/>
  <c r="B6" i="2"/>
  <c r="L6" i="2" s="1"/>
  <c r="P6" i="1" s="1"/>
  <c r="B7" i="2"/>
  <c r="L7" i="2" s="1"/>
  <c r="P7" i="1" s="1"/>
  <c r="B8" i="2"/>
  <c r="B9" i="2"/>
  <c r="J9" i="1" s="1"/>
  <c r="B10" i="2"/>
  <c r="B11" i="2"/>
  <c r="J11" i="1" s="1"/>
  <c r="B12" i="2"/>
  <c r="L12" i="2" s="1"/>
  <c r="P12" i="1" s="1"/>
  <c r="B13" i="2"/>
  <c r="L13" i="2" s="1"/>
  <c r="P13" i="1" s="1"/>
  <c r="B14" i="2"/>
  <c r="J14" i="1" s="1"/>
  <c r="B15" i="2"/>
  <c r="L15" i="2" s="1"/>
  <c r="P15" i="1" s="1"/>
  <c r="B16" i="2"/>
  <c r="J16" i="1" s="1"/>
  <c r="B17" i="2"/>
  <c r="J17" i="1" s="1"/>
  <c r="B18" i="2"/>
  <c r="B19" i="2"/>
  <c r="J19" i="1" s="1"/>
  <c r="B20" i="2"/>
  <c r="J20" i="1" s="1"/>
  <c r="B21" i="2"/>
  <c r="L21" i="2" s="1"/>
  <c r="P21" i="1" s="1"/>
  <c r="B22" i="2"/>
  <c r="J22" i="1" s="1"/>
  <c r="B23" i="2"/>
  <c r="L23" i="2" s="1"/>
  <c r="P23" i="1" s="1"/>
  <c r="B4" i="2"/>
  <c r="L4" i="2" s="1"/>
  <c r="K4" i="6"/>
  <c r="E4" i="6"/>
  <c r="F4" i="6"/>
  <c r="G4" i="6"/>
  <c r="H4" i="6"/>
  <c r="I4" i="6"/>
  <c r="J4" i="6"/>
  <c r="K5" i="6"/>
  <c r="E5" i="6"/>
  <c r="F5" i="6"/>
  <c r="G5" i="6"/>
  <c r="H5" i="6"/>
  <c r="I5" i="6"/>
  <c r="J5" i="6"/>
  <c r="K6" i="6"/>
  <c r="E6" i="6"/>
  <c r="F6" i="6"/>
  <c r="G6" i="6"/>
  <c r="H6" i="6"/>
  <c r="I6" i="6"/>
  <c r="J6" i="6"/>
  <c r="K7" i="6"/>
  <c r="E7" i="6"/>
  <c r="F7" i="6"/>
  <c r="G7" i="6"/>
  <c r="H7" i="6"/>
  <c r="I7" i="6"/>
  <c r="J7" i="6"/>
  <c r="K8" i="6"/>
  <c r="E8" i="6"/>
  <c r="F8" i="6"/>
  <c r="G8" i="6"/>
  <c r="H8" i="6"/>
  <c r="I8" i="6"/>
  <c r="J8" i="6"/>
  <c r="K9" i="6"/>
  <c r="E9" i="6"/>
  <c r="F9" i="6"/>
  <c r="G9" i="6"/>
  <c r="H9" i="6"/>
  <c r="I9" i="6"/>
  <c r="J9" i="6"/>
  <c r="K10" i="6"/>
  <c r="E10" i="6"/>
  <c r="F10" i="6"/>
  <c r="G10" i="6"/>
  <c r="H10" i="6"/>
  <c r="I10" i="6"/>
  <c r="J10" i="6"/>
  <c r="K11" i="6"/>
  <c r="E11" i="6"/>
  <c r="F11" i="6"/>
  <c r="G11" i="6"/>
  <c r="H11" i="6"/>
  <c r="I11" i="6"/>
  <c r="J11" i="6"/>
  <c r="K12" i="6"/>
  <c r="E12" i="6"/>
  <c r="F12" i="6"/>
  <c r="G12" i="6"/>
  <c r="H12" i="6"/>
  <c r="I12" i="6"/>
  <c r="J12" i="6"/>
  <c r="K13" i="6"/>
  <c r="E13" i="6"/>
  <c r="F13" i="6"/>
  <c r="G13" i="6"/>
  <c r="H13" i="6"/>
  <c r="I13" i="6"/>
  <c r="J13" i="6"/>
  <c r="K14" i="6"/>
  <c r="E14" i="6"/>
  <c r="F14" i="6"/>
  <c r="G14" i="6"/>
  <c r="H14" i="6"/>
  <c r="I14" i="6"/>
  <c r="J14" i="6"/>
  <c r="K15" i="6"/>
  <c r="E15" i="6"/>
  <c r="F15" i="6"/>
  <c r="G15" i="6"/>
  <c r="H15" i="6"/>
  <c r="I15" i="6"/>
  <c r="J15" i="6"/>
  <c r="K16" i="6"/>
  <c r="E16" i="6"/>
  <c r="F16" i="6"/>
  <c r="G16" i="6"/>
  <c r="H16" i="6"/>
  <c r="I16" i="6"/>
  <c r="J16" i="6"/>
  <c r="K17" i="6"/>
  <c r="E17" i="6"/>
  <c r="F17" i="6"/>
  <c r="G17" i="6"/>
  <c r="H17" i="6"/>
  <c r="I17" i="6"/>
  <c r="J17" i="6"/>
  <c r="K18" i="6"/>
  <c r="E18" i="6"/>
  <c r="F18" i="6"/>
  <c r="G18" i="6"/>
  <c r="H18" i="6"/>
  <c r="I18" i="6"/>
  <c r="J18" i="6"/>
  <c r="K19" i="6"/>
  <c r="E19" i="6"/>
  <c r="F19" i="6"/>
  <c r="G19" i="6"/>
  <c r="H19" i="6"/>
  <c r="I19" i="6"/>
  <c r="J19" i="6"/>
  <c r="K20" i="6"/>
  <c r="E20" i="6"/>
  <c r="F20" i="6"/>
  <c r="G20" i="6"/>
  <c r="H20" i="6"/>
  <c r="I20" i="6"/>
  <c r="J20" i="6"/>
  <c r="K21" i="6"/>
  <c r="E21" i="6"/>
  <c r="F21" i="6"/>
  <c r="G21" i="6"/>
  <c r="H21" i="6"/>
  <c r="I21" i="6"/>
  <c r="J21" i="6"/>
  <c r="J3" i="6"/>
  <c r="I3" i="6"/>
  <c r="H3" i="6"/>
  <c r="G3" i="6"/>
  <c r="F3" i="6"/>
  <c r="E3" i="6"/>
  <c r="K3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3" i="6"/>
  <c r="AA13" i="5"/>
  <c r="AD13" i="1" s="1"/>
  <c r="AA14" i="5"/>
  <c r="AD14" i="1" s="1"/>
  <c r="AA15" i="5"/>
  <c r="AD15" i="1" s="1"/>
  <c r="AA16" i="5"/>
  <c r="AD16" i="1" s="1"/>
  <c r="AA17" i="5"/>
  <c r="AD17" i="1" s="1"/>
  <c r="AA18" i="5"/>
  <c r="AD18" i="1" s="1"/>
  <c r="AA19" i="5"/>
  <c r="AD19" i="1" s="1"/>
  <c r="AA20" i="5"/>
  <c r="AD20" i="1" s="1"/>
  <c r="AA21" i="5"/>
  <c r="AD21" i="1" s="1"/>
  <c r="AA22" i="5"/>
  <c r="AD22" i="1" s="1"/>
  <c r="U23" i="1"/>
  <c r="V23" i="1" s="1"/>
  <c r="W23" i="1"/>
  <c r="AA23" i="1"/>
  <c r="AA14" i="1"/>
  <c r="A13" i="1"/>
  <c r="B13" i="1"/>
  <c r="C13" i="1"/>
  <c r="J13" i="1"/>
  <c r="L13" i="1"/>
  <c r="M13" i="1"/>
  <c r="W13" i="1" s="1"/>
  <c r="N13" i="1"/>
  <c r="O13" i="1"/>
  <c r="A14" i="1"/>
  <c r="B14" i="1"/>
  <c r="C14" i="1"/>
  <c r="L14" i="1"/>
  <c r="O14" i="1"/>
  <c r="A15" i="1"/>
  <c r="B15" i="1"/>
  <c r="C15" i="1"/>
  <c r="K15" i="1"/>
  <c r="L15" i="1"/>
  <c r="M15" i="1"/>
  <c r="N15" i="1"/>
  <c r="O15" i="1"/>
  <c r="A16" i="1"/>
  <c r="B16" i="1"/>
  <c r="C16" i="1"/>
  <c r="L16" i="1"/>
  <c r="M16" i="1"/>
  <c r="N16" i="1"/>
  <c r="O16" i="1"/>
  <c r="A17" i="1"/>
  <c r="B17" i="1"/>
  <c r="C17" i="1"/>
  <c r="L17" i="1"/>
  <c r="M17" i="1"/>
  <c r="N17" i="1"/>
  <c r="O17" i="1"/>
  <c r="A18" i="1"/>
  <c r="B18" i="1"/>
  <c r="C18" i="1"/>
  <c r="J18" i="1"/>
  <c r="L18" i="1"/>
  <c r="M18" i="1"/>
  <c r="N18" i="1"/>
  <c r="W18" i="1" s="1"/>
  <c r="O18" i="1"/>
  <c r="A19" i="1"/>
  <c r="B19" i="1"/>
  <c r="C19" i="1"/>
  <c r="L19" i="1"/>
  <c r="M19" i="1"/>
  <c r="W19" i="1" s="1"/>
  <c r="N19" i="1"/>
  <c r="O19" i="1"/>
  <c r="A20" i="1"/>
  <c r="B20" i="1"/>
  <c r="C20" i="1"/>
  <c r="L20" i="1"/>
  <c r="M20" i="1"/>
  <c r="W20" i="1" s="1"/>
  <c r="N20" i="1"/>
  <c r="O20" i="1"/>
  <c r="A21" i="1"/>
  <c r="B21" i="1"/>
  <c r="C21" i="1"/>
  <c r="L21" i="1"/>
  <c r="M21" i="1"/>
  <c r="N21" i="1"/>
  <c r="O21" i="1"/>
  <c r="A22" i="1"/>
  <c r="B22" i="1"/>
  <c r="C22" i="1"/>
  <c r="K22" i="1"/>
  <c r="L22" i="1"/>
  <c r="M22" i="1"/>
  <c r="W22" i="1" s="1"/>
  <c r="N22" i="1"/>
  <c r="O22" i="1"/>
  <c r="A23" i="1"/>
  <c r="B23" i="1"/>
  <c r="C23" i="1"/>
  <c r="L23" i="1"/>
  <c r="M23" i="1"/>
  <c r="N23" i="1"/>
  <c r="O23" i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X19" i="5" s="1"/>
  <c r="Z19" i="1" s="1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L18" i="2"/>
  <c r="P18" i="1" s="1"/>
  <c r="B4" i="5"/>
  <c r="D5" i="5"/>
  <c r="D6" i="5"/>
  <c r="D7" i="5"/>
  <c r="D8" i="5"/>
  <c r="D9" i="5"/>
  <c r="D10" i="5"/>
  <c r="D11" i="5"/>
  <c r="D12" i="5"/>
  <c r="D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X12" i="5" s="1"/>
  <c r="Z12" i="1" s="1"/>
  <c r="C4" i="5"/>
  <c r="D4" i="6"/>
  <c r="D5" i="6"/>
  <c r="D6" i="6"/>
  <c r="D7" i="6"/>
  <c r="D8" i="6"/>
  <c r="D9" i="6"/>
  <c r="D10" i="6"/>
  <c r="D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C3" i="6"/>
  <c r="B3" i="6"/>
  <c r="AA5" i="5"/>
  <c r="AD5" i="1" s="1"/>
  <c r="AA6" i="5"/>
  <c r="AD6" i="1" s="1"/>
  <c r="AA7" i="5"/>
  <c r="AD7" i="1" s="1"/>
  <c r="AA8" i="5"/>
  <c r="AD8" i="1" s="1"/>
  <c r="AA9" i="5"/>
  <c r="AD9" i="1" s="1"/>
  <c r="AA10" i="5"/>
  <c r="AD10" i="1" s="1"/>
  <c r="AA11" i="5"/>
  <c r="AD11" i="1" s="1"/>
  <c r="AA12" i="5"/>
  <c r="AD12" i="1" s="1"/>
  <c r="X7" i="5"/>
  <c r="Z7" i="1" s="1"/>
  <c r="X10" i="5"/>
  <c r="Z10" i="1" s="1"/>
  <c r="X11" i="5"/>
  <c r="Z11" i="1" s="1"/>
  <c r="A5" i="5"/>
  <c r="A6" i="5"/>
  <c r="A7" i="5"/>
  <c r="A8" i="5"/>
  <c r="A9" i="5"/>
  <c r="A10" i="5"/>
  <c r="A11" i="5"/>
  <c r="A12" i="5"/>
  <c r="L5" i="2"/>
  <c r="P5" i="1" s="1"/>
  <c r="L9" i="2"/>
  <c r="P9" i="1" s="1"/>
  <c r="L10" i="2"/>
  <c r="P10" i="1" s="1"/>
  <c r="A5" i="1"/>
  <c r="B5" i="1"/>
  <c r="C5" i="1"/>
  <c r="L5" i="1"/>
  <c r="M5" i="1"/>
  <c r="N5" i="1"/>
  <c r="O5" i="1"/>
  <c r="A6" i="1"/>
  <c r="B6" i="1"/>
  <c r="C6" i="1"/>
  <c r="J6" i="1"/>
  <c r="L6" i="1"/>
  <c r="M6" i="1"/>
  <c r="N6" i="1"/>
  <c r="O6" i="1"/>
  <c r="A7" i="1"/>
  <c r="B7" i="1"/>
  <c r="C7" i="1"/>
  <c r="K7" i="1"/>
  <c r="L7" i="1"/>
  <c r="M7" i="1"/>
  <c r="N7" i="1"/>
  <c r="O7" i="1"/>
  <c r="A8" i="1"/>
  <c r="B8" i="1"/>
  <c r="C8" i="1"/>
  <c r="K8" i="1"/>
  <c r="L8" i="1"/>
  <c r="M8" i="1"/>
  <c r="N8" i="1"/>
  <c r="O8" i="1"/>
  <c r="A9" i="1"/>
  <c r="B9" i="1"/>
  <c r="C9" i="1"/>
  <c r="L9" i="1"/>
  <c r="M9" i="1"/>
  <c r="N9" i="1"/>
  <c r="O9" i="1"/>
  <c r="A10" i="1"/>
  <c r="B10" i="1"/>
  <c r="C10" i="1"/>
  <c r="J10" i="1"/>
  <c r="K10" i="1"/>
  <c r="L10" i="1"/>
  <c r="M10" i="1"/>
  <c r="N10" i="1"/>
  <c r="O10" i="1"/>
  <c r="A11" i="1"/>
  <c r="B11" i="1"/>
  <c r="C11" i="1"/>
  <c r="L11" i="1"/>
  <c r="M11" i="1"/>
  <c r="N11" i="1"/>
  <c r="O11" i="1"/>
  <c r="A12" i="1"/>
  <c r="B12" i="1"/>
  <c r="C12" i="1"/>
  <c r="L12" i="1"/>
  <c r="M12" i="1"/>
  <c r="N12" i="1"/>
  <c r="O12" i="1"/>
  <c r="AA4" i="5"/>
  <c r="AD4" i="1" s="1"/>
  <c r="A4" i="5"/>
  <c r="K4" i="1"/>
  <c r="L4" i="1"/>
  <c r="M4" i="1"/>
  <c r="O4" i="1"/>
  <c r="C4" i="1"/>
  <c r="B4" i="1"/>
  <c r="A4" i="1"/>
  <c r="X22" i="5" l="1"/>
  <c r="Z22" i="1" s="1"/>
  <c r="X16" i="5"/>
  <c r="Z16" i="1" s="1"/>
  <c r="X5" i="5"/>
  <c r="Z5" i="1" s="1"/>
  <c r="B7" i="9"/>
  <c r="B11" i="9"/>
  <c r="B9" i="9"/>
  <c r="B5" i="9"/>
  <c r="B14" i="9"/>
  <c r="B22" i="9"/>
  <c r="B21" i="9"/>
  <c r="B20" i="9"/>
  <c r="B19" i="9"/>
  <c r="B18" i="9"/>
  <c r="B17" i="9"/>
  <c r="B16" i="9"/>
  <c r="B15" i="9"/>
  <c r="B13" i="9"/>
  <c r="B12" i="9"/>
  <c r="B10" i="9"/>
  <c r="B8" i="9"/>
  <c r="B6" i="9"/>
  <c r="U19" i="1"/>
  <c r="V19" i="1" s="1"/>
  <c r="W15" i="1"/>
  <c r="U13" i="1"/>
  <c r="V13" i="1" s="1"/>
  <c r="U22" i="1"/>
  <c r="V22" i="1" s="1"/>
  <c r="A5" i="9"/>
  <c r="A11" i="9"/>
  <c r="A10" i="9"/>
  <c r="A9" i="9"/>
  <c r="A12" i="9"/>
  <c r="A8" i="9"/>
  <c r="A7" i="9"/>
  <c r="A6" i="9"/>
  <c r="A22" i="9"/>
  <c r="A21" i="9"/>
  <c r="A20" i="9"/>
  <c r="A19" i="9"/>
  <c r="A18" i="9"/>
  <c r="A17" i="9"/>
  <c r="A16" i="9"/>
  <c r="A15" i="9"/>
  <c r="A14" i="9"/>
  <c r="A13" i="9"/>
  <c r="B4" i="9"/>
  <c r="A4" i="9"/>
  <c r="U21" i="1"/>
  <c r="V21" i="1" s="1"/>
  <c r="AA22" i="1"/>
  <c r="AA13" i="1"/>
  <c r="X4" i="5"/>
  <c r="Z4" i="1" s="1"/>
  <c r="X18" i="5"/>
  <c r="Z18" i="1" s="1"/>
  <c r="AA20" i="1"/>
  <c r="U14" i="1"/>
  <c r="V14" i="1" s="1"/>
  <c r="AA19" i="1"/>
  <c r="U18" i="1"/>
  <c r="V18" i="1" s="1"/>
  <c r="U16" i="1"/>
  <c r="V16" i="1" s="1"/>
  <c r="AF5" i="1"/>
  <c r="AG5" i="1"/>
  <c r="AF22" i="1"/>
  <c r="AG22" i="1"/>
  <c r="AF14" i="1"/>
  <c r="AG14" i="1"/>
  <c r="AG13" i="1"/>
  <c r="AF13" i="1"/>
  <c r="U17" i="1"/>
  <c r="V17" i="1" s="1"/>
  <c r="AF20" i="1"/>
  <c r="AG20" i="1"/>
  <c r="AG19" i="1"/>
  <c r="AF19" i="1"/>
  <c r="AG11" i="1"/>
  <c r="AF11" i="1"/>
  <c r="L16" i="2"/>
  <c r="P16" i="1" s="1"/>
  <c r="U15" i="1"/>
  <c r="V15" i="1" s="1"/>
  <c r="U20" i="1"/>
  <c r="V20" i="1" s="1"/>
  <c r="J23" i="1"/>
  <c r="AF9" i="1"/>
  <c r="AG9" i="1"/>
  <c r="AF18" i="1"/>
  <c r="AG18" i="1"/>
  <c r="W21" i="1"/>
  <c r="L17" i="2"/>
  <c r="P17" i="1" s="1"/>
  <c r="AF6" i="1"/>
  <c r="AG6" i="1"/>
  <c r="J21" i="1"/>
  <c r="AF17" i="1"/>
  <c r="AG17" i="1"/>
  <c r="AF10" i="1"/>
  <c r="AG10" i="1"/>
  <c r="P4" i="1"/>
  <c r="AG16" i="1"/>
  <c r="AF16" i="1"/>
  <c r="L8" i="2"/>
  <c r="P8" i="1" s="1"/>
  <c r="AA21" i="1"/>
  <c r="AA17" i="1"/>
  <c r="AA18" i="1"/>
  <c r="AA15" i="1"/>
  <c r="AA16" i="1"/>
  <c r="X21" i="5"/>
  <c r="Z21" i="1" s="1"/>
  <c r="X20" i="5"/>
  <c r="Z20" i="1" s="1"/>
  <c r="X13" i="5"/>
  <c r="Z13" i="1" s="1"/>
  <c r="X9" i="5"/>
  <c r="Z9" i="1" s="1"/>
  <c r="W17" i="1"/>
  <c r="W16" i="1"/>
  <c r="X14" i="5"/>
  <c r="Z14" i="1" s="1"/>
  <c r="X17" i="5"/>
  <c r="Z17" i="1" s="1"/>
  <c r="X15" i="5"/>
  <c r="Z15" i="1" s="1"/>
  <c r="X8" i="5"/>
  <c r="Z8" i="1" s="1"/>
  <c r="X6" i="5"/>
  <c r="Z6" i="1" s="1"/>
  <c r="L22" i="2"/>
  <c r="P22" i="1" s="1"/>
  <c r="L19" i="2"/>
  <c r="P19" i="1" s="1"/>
  <c r="L11" i="2"/>
  <c r="P11" i="1" s="1"/>
  <c r="J7" i="1"/>
  <c r="L14" i="2"/>
  <c r="P14" i="1" s="1"/>
  <c r="J8" i="1"/>
  <c r="L20" i="2"/>
  <c r="P20" i="1" s="1"/>
  <c r="J12" i="1"/>
  <c r="J15" i="1"/>
  <c r="J4" i="1"/>
  <c r="U6" i="1"/>
  <c r="V6" i="1" s="1"/>
  <c r="AA6" i="1"/>
  <c r="U5" i="1"/>
  <c r="V5" i="1" s="1"/>
  <c r="W10" i="1"/>
  <c r="U11" i="1"/>
  <c r="V11" i="1" s="1"/>
  <c r="W5" i="1"/>
  <c r="W6" i="1"/>
  <c r="U9" i="1"/>
  <c r="V9" i="1" s="1"/>
  <c r="U12" i="1"/>
  <c r="V12" i="1" s="1"/>
  <c r="U4" i="1"/>
  <c r="V4" i="1" s="1"/>
  <c r="W9" i="1"/>
  <c r="U8" i="1"/>
  <c r="V8" i="1" s="1"/>
  <c r="U7" i="1"/>
  <c r="V7" i="1" s="1"/>
  <c r="U10" i="1"/>
  <c r="V10" i="1" s="1"/>
  <c r="W11" i="1"/>
  <c r="W4" i="1"/>
  <c r="W8" i="1"/>
  <c r="W7" i="1"/>
  <c r="W12" i="1"/>
  <c r="AA7" i="1"/>
  <c r="AA8" i="1"/>
  <c r="AA4" i="1"/>
  <c r="AA12" i="1"/>
  <c r="AA11" i="1"/>
  <c r="AA5" i="1"/>
  <c r="AA9" i="1"/>
  <c r="AA10" i="1"/>
  <c r="AG12" i="1" l="1"/>
  <c r="AF12" i="1"/>
  <c r="AF21" i="1"/>
  <c r="AG21" i="1"/>
  <c r="AG15" i="1"/>
  <c r="AF15" i="1"/>
  <c r="AF4" i="1"/>
  <c r="AG4" i="1"/>
  <c r="AG8" i="1"/>
  <c r="AF8" i="1"/>
  <c r="AG7" i="1"/>
  <c r="AF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tc={BFFAD5F7-42D5-4C87-93D1-D89E75ECB918}</author>
  </authors>
  <commentList>
    <comment ref="T2" authorId="0" shapeId="0" xr:uid="{BFFAD5F7-42D5-4C87-93D1-D89E75ECB91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Expand to 3 columns if doing USBL surveys (N, E and D errors)</t>
      </text>
    </comment>
  </commentList>
</comments>
</file>

<file path=xl/sharedStrings.xml><?xml version="1.0" encoding="utf-8"?>
<sst xmlns="http://schemas.openxmlformats.org/spreadsheetml/2006/main" count="347" uniqueCount="189">
  <si>
    <t>Station Name</t>
  </si>
  <si>
    <t>OBS</t>
  </si>
  <si>
    <t>Date/Time (UTC)</t>
  </si>
  <si>
    <t>Planned Location</t>
  </si>
  <si>
    <t>Actual Launch Location</t>
  </si>
  <si>
    <t>Surveyed Location (Seafloor)</t>
  </si>
  <si>
    <t>First Surfacing Location</t>
  </si>
  <si>
    <t>Recovery Location</t>
  </si>
  <si>
    <t>Name</t>
  </si>
  <si>
    <t>Serial</t>
  </si>
  <si>
    <t>Launch</t>
  </si>
  <si>
    <t>On Seafloor</t>
  </si>
  <si>
    <t>Survey Start</t>
  </si>
  <si>
    <t>Released</t>
  </si>
  <si>
    <t>Surfaced</t>
  </si>
  <si>
    <t>Recovered</t>
  </si>
  <si>
    <t>Latitude</t>
  </si>
  <si>
    <t>Longitude</t>
  </si>
  <si>
    <t>Depth (m)</t>
  </si>
  <si>
    <t>Distance from Planned (km)</t>
  </si>
  <si>
    <t>Horizontal Drift (m)</t>
  </si>
  <si>
    <t>Bearing from Drop</t>
  </si>
  <si>
    <t>Bearing from Survey</t>
  </si>
  <si>
    <t>Distance from Surfacing (km)</t>
  </si>
  <si>
    <t>Firmware Versions</t>
  </si>
  <si>
    <t>Acoustic Modem</t>
  </si>
  <si>
    <t>Beacons</t>
  </si>
  <si>
    <t>Battery SOC</t>
  </si>
  <si>
    <t>Burn-wire Batch</t>
  </si>
  <si>
    <t>Burn-wire Test Voltage</t>
  </si>
  <si>
    <t>Comments</t>
  </si>
  <si>
    <t>Survey End</t>
  </si>
  <si>
    <t>Programmed Release</t>
  </si>
  <si>
    <t>Minimus</t>
  </si>
  <si>
    <t>Femtomus</t>
  </si>
  <si>
    <t>Address</t>
  </si>
  <si>
    <t>UID</t>
  </si>
  <si>
    <t>Apollo S/N</t>
  </si>
  <si>
    <t>VHF S/N</t>
  </si>
  <si>
    <t>VHF frequency (MHz)</t>
  </si>
  <si>
    <t>%</t>
  </si>
  <si>
    <t>Widget</t>
  </si>
  <si>
    <t>Dunker</t>
  </si>
  <si>
    <t>OBS Location as Deployed</t>
  </si>
  <si>
    <t>First Surfacing</t>
  </si>
  <si>
    <t>Clock Offset (ms)</t>
  </si>
  <si>
    <t>Backup hard drive IDs</t>
  </si>
  <si>
    <t>Acoustic contact</t>
  </si>
  <si>
    <t>Surfacing</t>
  </si>
  <si>
    <t>On deck</t>
  </si>
  <si>
    <t>Recording stopped</t>
  </si>
  <si>
    <t>Rise Drift (km)</t>
  </si>
  <si>
    <t>Surface Drift (km)</t>
  </si>
  <si>
    <t>Seafloor</t>
  </si>
  <si>
    <t>Std Error (m)</t>
  </si>
  <si>
    <t>Seafloor Location</t>
  </si>
  <si>
    <t>MEMS Accelerometer</t>
  </si>
  <si>
    <t>Z</t>
  </si>
  <si>
    <t>N</t>
  </si>
  <si>
    <t>E</t>
  </si>
  <si>
    <t>Magnetometer</t>
  </si>
  <si>
    <t>Burn Command</t>
  </si>
  <si>
    <t>Technician(s) Responsible</t>
  </si>
  <si>
    <t>Acoustics</t>
  </si>
  <si>
    <t>On-Deck</t>
  </si>
  <si>
    <t>On Station</t>
  </si>
  <si>
    <t>Station</t>
  </si>
  <si>
    <t>OBS Name</t>
  </si>
  <si>
    <t>OBS ID</t>
  </si>
  <si>
    <t>Launch Date/Time (UTC)</t>
  </si>
  <si>
    <t>Date/Time on Seafloor (UTC)</t>
  </si>
  <si>
    <t>Survey Start Date/Time (UTC)</t>
  </si>
  <si>
    <t>Date/Time Released (UTC)</t>
  </si>
  <si>
    <t>Surfaced Date/Time (UTC)</t>
  </si>
  <si>
    <t>Recovery Date/Time (UTC)</t>
  </si>
  <si>
    <t>Planned Latitude</t>
  </si>
  <si>
    <t>Planned Longitude</t>
  </si>
  <si>
    <t>Planned Depth (m)</t>
  </si>
  <si>
    <t>Launch Latitude</t>
  </si>
  <si>
    <t>Launch Longitude</t>
  </si>
  <si>
    <t>Water Depth at Launch (m)</t>
  </si>
  <si>
    <t>Distance Launch from Planned (km)</t>
  </si>
  <si>
    <t>Surveyed Latitude</t>
  </si>
  <si>
    <t>Surveyed Longitude</t>
  </si>
  <si>
    <t>Surveyed Depth (m)</t>
  </si>
  <si>
    <t>Horizontal Drift during Fall (m)</t>
  </si>
  <si>
    <t>Bearing Surveyed from Launch</t>
  </si>
  <si>
    <t>Surfacing Latitude</t>
  </si>
  <si>
    <t>Surfacing Longitude</t>
  </si>
  <si>
    <t>Horizontal Drift during Rise (m)</t>
  </si>
  <si>
    <t>Bearing Surfacing from Surveyed</t>
  </si>
  <si>
    <t>Recovery Latitude</t>
  </si>
  <si>
    <t>Recovery Longitude</t>
  </si>
  <si>
    <t>Drift on Surface (km)</t>
  </si>
  <si>
    <t>Survey Std Error (m)</t>
  </si>
  <si>
    <t>Recording Start Date/Time (UTC)</t>
  </si>
  <si>
    <t>Survey End Date/Time (UTC)</t>
  </si>
  <si>
    <t>Programmed Release Date/Time (UTC)</t>
  </si>
  <si>
    <t>Minimus Firmware</t>
  </si>
  <si>
    <t>Femtomus Firmware</t>
  </si>
  <si>
    <t>Acoustic Modem Address</t>
  </si>
  <si>
    <t>Acoustic Modem UID</t>
  </si>
  <si>
    <t>XMB S/N</t>
  </si>
  <si>
    <t>Radio beacon frequency (MHz)</t>
  </si>
  <si>
    <t>Battery SOC at Deployment (%)</t>
  </si>
  <si>
    <t>Burn-wire Widget Test Voltage</t>
  </si>
  <si>
    <t>Burn-wire Dunker Test Voltage</t>
  </si>
  <si>
    <t>Programming Technician</t>
  </si>
  <si>
    <t>Survey Technician</t>
  </si>
  <si>
    <t>Deployment Comments</t>
  </si>
  <si>
    <t>Programming</t>
  </si>
  <si>
    <t>Survey</t>
  </si>
  <si>
    <t>Deployed Latitude</t>
  </si>
  <si>
    <t>Deployed Longitude</t>
  </si>
  <si>
    <t>Water Depth (m)</t>
  </si>
  <si>
    <t>Date/Time Acoustic Contact Established (UTC)</t>
  </si>
  <si>
    <t>Date/Time Released from Anchor (UTC)</t>
  </si>
  <si>
    <t>Surfacing Date/Time (UTC)</t>
  </si>
  <si>
    <t>On-Deck Date/Time (UTC)</t>
  </si>
  <si>
    <t>Date/Time Recording Stopped (UTC)</t>
  </si>
  <si>
    <t>Horizontal Drift during Rise (km)</t>
  </si>
  <si>
    <t>Clock Offset at Seabed (ms)</t>
  </si>
  <si>
    <t>Clock Offset on Deck (ms)</t>
  </si>
  <si>
    <t>Battery SOC at Recovery (%)</t>
  </si>
  <si>
    <t>Recovery Comments</t>
  </si>
  <si>
    <t>Acoustics Technician</t>
  </si>
  <si>
    <t>Recovery Technician</t>
  </si>
  <si>
    <t>MagE</t>
  </si>
  <si>
    <t>MagN</t>
  </si>
  <si>
    <t>MagZ</t>
  </si>
  <si>
    <t>AccZ</t>
  </si>
  <si>
    <t>AccN</t>
  </si>
  <si>
    <t>AccE</t>
  </si>
  <si>
    <t>Date/Time First Burn Command (UTC)</t>
  </si>
  <si>
    <t>Date/Time on Station (UTC)</t>
  </si>
  <si>
    <t>Recording Start</t>
  </si>
  <si>
    <t>Modem Address</t>
  </si>
  <si>
    <t>Modem UID</t>
  </si>
  <si>
    <t>Apollo</t>
  </si>
  <si>
    <t>XMB</t>
  </si>
  <si>
    <t>Available Instruments</t>
  </si>
  <si>
    <t>Latitude Degrees</t>
  </si>
  <si>
    <t>Latitude Minutes</t>
  </si>
  <si>
    <t>Longitude Degrees</t>
  </si>
  <si>
    <t>Longitude Minutes</t>
  </si>
  <si>
    <t>Drift (% Depth)</t>
  </si>
  <si>
    <t>Horizontal Fall Drift (% Depth)</t>
  </si>
  <si>
    <t>Planned vs. Seafloor</t>
  </si>
  <si>
    <t>Distance (m)</t>
  </si>
  <si>
    <t>Bearing</t>
  </si>
  <si>
    <t>Minimum</t>
  </si>
  <si>
    <t>Maximum</t>
  </si>
  <si>
    <t>Backup Release</t>
  </si>
  <si>
    <t>Days Recording</t>
  </si>
  <si>
    <t>Days at Seafloor</t>
  </si>
  <si>
    <t>Clock Drift</t>
  </si>
  <si>
    <t>Actual Sample Rate (250Hz)</t>
  </si>
  <si>
    <t>Tilt Estimate</t>
  </si>
  <si>
    <t>Elapsed Time (min)</t>
  </si>
  <si>
    <t>Movement Rate (m/min)</t>
  </si>
  <si>
    <t>ms/day</t>
  </si>
  <si>
    <t>ppm</t>
  </si>
  <si>
    <t>Deploy</t>
  </si>
  <si>
    <t>Recover</t>
  </si>
  <si>
    <t>Sink</t>
  </si>
  <si>
    <t>Rise</t>
  </si>
  <si>
    <t>Burn</t>
  </si>
  <si>
    <t>Floating</t>
  </si>
  <si>
    <t>Deployment</t>
  </si>
  <si>
    <t>Recovery</t>
  </si>
  <si>
    <t>Comparison</t>
  </si>
  <si>
    <t>Sensitivity</t>
  </si>
  <si>
    <t>MEMS Accelerometer (counts)</t>
  </si>
  <si>
    <t>Magnetometer (counts)</t>
  </si>
  <si>
    <t>MEMS Accelerometer (m/s^2)</t>
  </si>
  <si>
    <t>Magnetometer (nT)</t>
  </si>
  <si>
    <r>
      <t>Tilt From Vertical (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Calibri"/>
        <family val="2"/>
      </rPr>
      <t>)</t>
    </r>
  </si>
  <si>
    <t>Max Tilt Direction</t>
  </si>
  <si>
    <t>Magnetic Field Vector</t>
  </si>
  <si>
    <t>Magnetic Field Intensity (uT)</t>
  </si>
  <si>
    <t>Apparent Tilt Rotation</t>
  </si>
  <si>
    <t>Acc (counts/m/s^2)</t>
  </si>
  <si>
    <t>Mag (mGauss/count)</t>
  </si>
  <si>
    <t>Inclination</t>
  </si>
  <si>
    <t>Total</t>
  </si>
  <si>
    <t>Vertical</t>
  </si>
  <si>
    <t>Horizontal</t>
  </si>
  <si>
    <t>On Station (Recovery)</t>
  </si>
  <si>
    <t>All VHF beacons set to []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</si>
</sst>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/mm/dd\ hh:mm:ss"/>
    <numFmt numFmtId="165" formatCode="0.000"/>
    <numFmt numFmtId="166" formatCode="0.000000"/>
    <numFmt numFmtId="167" formatCode="0.0"/>
    <numFmt numFmtId="168" formatCode="yyyy\/mm\/dd\ hh:mm"/>
    <numFmt numFmtId="169" formatCode="yyyy/mm/dd\ hh:mm"/>
    <numFmt numFmtId="170" formatCode="0.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2" applyNumberFormat="0" applyAlignment="0" applyProtection="0"/>
    <xf numFmtId="0" fontId="3" fillId="3" borderId="2" applyNumberFormat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3" fillId="3" borderId="2" xfId="2" applyNumberFormat="1" applyAlignment="1">
      <alignment horizontal="center"/>
    </xf>
    <xf numFmtId="0" fontId="3" fillId="3" borderId="2" xfId="2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22" fontId="0" fillId="0" borderId="0" xfId="0" applyNumberFormat="1" applyAlignment="1">
      <alignment horizontal="center"/>
    </xf>
    <xf numFmtId="0" fontId="2" fillId="2" borderId="2" xfId="1" applyNumberFormat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1" xfId="0" applyBorder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3" fillId="3" borderId="2" xfId="3" applyNumberFormat="1" applyFont="1" applyFill="1" applyBorder="1" applyAlignment="1">
      <alignment horizontal="center"/>
    </xf>
    <xf numFmtId="10" fontId="0" fillId="0" borderId="0" xfId="0" applyNumberFormat="1"/>
    <xf numFmtId="22" fontId="1" fillId="0" borderId="1" xfId="0" applyNumberFormat="1" applyFont="1" applyBorder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Font="1"/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3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</cellXfs>
  <cellStyles count="4">
    <cellStyle name="Calculation" xfId="2" builtinId="22"/>
    <cellStyle name="Input" xfId="1" builtinId="20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Planned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Locations!$K$4:$K$23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Locations!$J$4:$J$23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41-4559-A7A0-1BCD80079023}"/>
            </c:ext>
          </c:extLst>
        </c:ser>
        <c:ser>
          <c:idx val="1"/>
          <c:order val="1"/>
          <c:tx>
            <c:v>Drop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Locations!$N$4:$N$23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Locations!$M$4:$M$23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41-4559-A7A0-1BCD80079023}"/>
            </c:ext>
          </c:extLst>
        </c:ser>
        <c:ser>
          <c:idx val="2"/>
          <c:order val="2"/>
          <c:tx>
            <c:v>Seafloor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Locations!$R$4:$R$23</c:f>
              <c:numCache>
                <c:formatCode>General</c:formatCode>
                <c:ptCount val="20"/>
              </c:numCache>
            </c:numRef>
          </c:xVal>
          <c:yVal>
            <c:numRef>
              <c:f>Locations!$Q$4:$Q$23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41-4559-A7A0-1BCD80079023}"/>
            </c:ext>
          </c:extLst>
        </c:ser>
        <c:ser>
          <c:idx val="3"/>
          <c:order val="3"/>
          <c:tx>
            <c:v>Surfacing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Locations!$Y$4:$Y$23</c:f>
            </c:numRef>
          </c:xVal>
          <c:yVal>
            <c:numRef>
              <c:f>Locations!$X$4:$X$23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41-4559-A7A0-1BCD80079023}"/>
            </c:ext>
          </c:extLst>
        </c:ser>
        <c:ser>
          <c:idx val="4"/>
          <c:order val="4"/>
          <c:tx>
            <c:v>Recovery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Locations!$AC$4:$AC$23</c:f>
            </c:numRef>
          </c:xVal>
          <c:yVal>
            <c:numRef>
              <c:f>Locations!$AB$4:$AB$23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41-4559-A7A0-1BCD80079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022575"/>
        <c:axId val="1796512351"/>
      </c:scatterChart>
      <c:valAx>
        <c:axId val="2077022575"/>
        <c:scaling>
          <c:orientation val="minMax"/>
          <c:max val="-5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512351"/>
        <c:crosses val="autoZero"/>
        <c:crossBetween val="midCat"/>
      </c:valAx>
      <c:valAx>
        <c:axId val="1796512351"/>
        <c:scaling>
          <c:orientation val="minMax"/>
          <c:min val="4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2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Recovery Time on Station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Locations!$O$4:$O$22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Locations!$AS$4:$AS$22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0-4327-928C-9AD8B7FA05C4}"/>
            </c:ext>
          </c:extLst>
        </c:ser>
        <c:ser>
          <c:idx val="1"/>
          <c:order val="1"/>
          <c:tx>
            <c:v>Sink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Locations!$O$4:$O$22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Locations!$AO$4:$AO$22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90-4327-928C-9AD8B7FA05C4}"/>
            </c:ext>
          </c:extLst>
        </c:ser>
        <c:ser>
          <c:idx val="2"/>
          <c:order val="2"/>
          <c:tx>
            <c:v>Rise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Locations!$O$4:$O$22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Locations!$AP$4:$AP$22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90-4327-928C-9AD8B7FA05C4}"/>
            </c:ext>
          </c:extLst>
        </c:ser>
        <c:ser>
          <c:idx val="3"/>
          <c:order val="3"/>
          <c:tx>
            <c:v>Burn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Locations!$O$4:$O$22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Locations!$AQ$4:$AQ$22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90-4327-928C-9AD8B7FA05C4}"/>
            </c:ext>
          </c:extLst>
        </c:ser>
        <c:ser>
          <c:idx val="4"/>
          <c:order val="4"/>
          <c:tx>
            <c:v>Float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Locations!$O$4:$O$22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xVal>
          <c:yVal>
            <c:numRef>
              <c:f>Locations!$AR$4:$AR$22</c:f>
              <c:numCache>
                <c:formatCode>0.0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90-4327-928C-9AD8B7FA0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257695"/>
        <c:axId val="711258175"/>
      </c:scatterChart>
      <c:valAx>
        <c:axId val="71125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58175"/>
        <c:crosses val="autoZero"/>
        <c:crossBetween val="midCat"/>
      </c:valAx>
      <c:valAx>
        <c:axId val="7112581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5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23</xdr:row>
      <xdr:rowOff>133350</xdr:rowOff>
    </xdr:from>
    <xdr:to>
      <xdr:col>14</xdr:col>
      <xdr:colOff>190500</xdr:colOff>
      <xdr:row>40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E3A71-F421-F974-3B03-17ABDAA2B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123825</xdr:colOff>
      <xdr:row>25</xdr:row>
      <xdr:rowOff>120650</xdr:rowOff>
    </xdr:from>
    <xdr:to>
      <xdr:col>37</xdr:col>
      <xdr:colOff>892175</xdr:colOff>
      <xdr:row>40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92C369-7550-0976-0F40-5F9B92C6E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tie Bosman" id="{F968CF50-7F32-4C4A-A9F3-CA9A4227AD21}" userId="S::kt679536@dal.ca::305774b4-ee70-4e94-9807-3ebbedb90d2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2" dT="2025-06-27T14:21:22.65" personId="{F968CF50-7F32-4C4A-A9F3-CA9A4227AD21}" id="{BFFAD5F7-42D5-4C87-93D1-D89E75ECB918}">
    <text>Expand to 3 columns if doing USBL surveys (N, E and D errors)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9B89-AA38-4C80-A270-6884D62EF09D}">
  <dimension ref="A1:AU25"/>
  <sheetViews>
    <sheetView tabSelected="1" zoomScaleNormal="100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B6" sqref="B6"/>
    </sheetView>
  </sheetViews>
  <sheetFormatPr defaultColWidth="9.140625" defaultRowHeight="15" x14ac:dyDescent="0.25"/>
  <cols>
    <col min="1" max="1" width="13.140625" style="4" bestFit="1" customWidth="1"/>
    <col min="2" max="2" width="9.140625" style="4"/>
    <col min="3" max="3" width="9.7109375" style="4" bestFit="1" customWidth="1"/>
    <col min="4" max="9" width="18.28515625" style="5" bestFit="1" customWidth="1"/>
    <col min="10" max="10" width="9.140625" style="4"/>
    <col min="11" max="11" width="9.85546875" style="4" bestFit="1" customWidth="1"/>
    <col min="12" max="12" width="10" style="4" bestFit="1" customWidth="1"/>
    <col min="13" max="13" width="9.140625" style="4"/>
    <col min="14" max="14" width="9.85546875" style="4" bestFit="1" customWidth="1"/>
    <col min="15" max="15" width="10" style="4" bestFit="1" customWidth="1"/>
    <col min="16" max="16" width="26.140625" style="4" bestFit="1" customWidth="1"/>
    <col min="17" max="17" width="12.42578125" style="12" bestFit="1" customWidth="1"/>
    <col min="18" max="18" width="13.140625" style="12" bestFit="1" customWidth="1"/>
    <col min="19" max="19" width="9.85546875" style="12" customWidth="1"/>
    <col min="20" max="20" width="12.28515625" style="12" bestFit="1" customWidth="1"/>
    <col min="21" max="21" width="18.42578125" bestFit="1" customWidth="1"/>
    <col min="22" max="22" width="14.42578125" style="30" bestFit="1" customWidth="1"/>
    <col min="23" max="23" width="17.42578125" bestFit="1" customWidth="1"/>
    <col min="24" max="24" width="8.7109375"/>
    <col min="25" max="25" width="9.85546875" bestFit="1" customWidth="1"/>
    <col min="26" max="26" width="18.42578125" bestFit="1" customWidth="1"/>
    <col min="27" max="27" width="19.140625" bestFit="1" customWidth="1"/>
    <col min="28" max="28" width="9.140625" style="4"/>
    <col min="29" max="29" width="9.85546875" style="4" bestFit="1" customWidth="1"/>
    <col min="30" max="30" width="26.140625" style="4" bestFit="1" customWidth="1"/>
    <col min="31" max="33" width="9.140625" style="4"/>
    <col min="34" max="34" width="11.140625" style="6" customWidth="1"/>
    <col min="35" max="35" width="10" style="6" bestFit="1" customWidth="1"/>
    <col min="36" max="36" width="14.5703125" style="4" bestFit="1" customWidth="1"/>
    <col min="37" max="37" width="9.140625" style="4"/>
    <col min="38" max="38" width="13.7109375" style="4" customWidth="1"/>
    <col min="39" max="39" width="12" style="4" bestFit="1" customWidth="1"/>
    <col min="40" max="42" width="9.140625" style="4"/>
    <col min="43" max="43" width="9.5703125" style="4" customWidth="1"/>
    <col min="44" max="16384" width="9.140625" style="4"/>
  </cols>
  <sheetData>
    <row r="1" spans="1:47" s="1" customFormat="1" x14ac:dyDescent="0.25">
      <c r="A1" s="1" t="s">
        <v>0</v>
      </c>
      <c r="B1" s="64" t="s">
        <v>1</v>
      </c>
      <c r="C1" s="64"/>
      <c r="D1" s="65" t="s">
        <v>2</v>
      </c>
      <c r="E1" s="65"/>
      <c r="F1" s="65"/>
      <c r="G1" s="65"/>
      <c r="H1" s="65"/>
      <c r="I1" s="65"/>
      <c r="J1" s="64" t="s">
        <v>3</v>
      </c>
      <c r="K1" s="64"/>
      <c r="L1" s="64"/>
      <c r="M1" s="64" t="s">
        <v>4</v>
      </c>
      <c r="N1" s="64"/>
      <c r="O1" s="64"/>
      <c r="P1" s="64"/>
      <c r="Q1" s="64" t="s">
        <v>5</v>
      </c>
      <c r="R1" s="64"/>
      <c r="S1" s="64"/>
      <c r="T1" s="64"/>
      <c r="U1" s="64"/>
      <c r="V1" s="64"/>
      <c r="W1" s="64"/>
      <c r="X1" s="64" t="s">
        <v>6</v>
      </c>
      <c r="Y1" s="64"/>
      <c r="Z1" s="64"/>
      <c r="AA1" s="64"/>
      <c r="AB1" s="64" t="s">
        <v>7</v>
      </c>
      <c r="AC1" s="64"/>
      <c r="AD1" s="64"/>
      <c r="AF1" s="64" t="s">
        <v>147</v>
      </c>
      <c r="AG1" s="64"/>
      <c r="AH1" s="62" t="s">
        <v>153</v>
      </c>
      <c r="AI1" s="62" t="s">
        <v>154</v>
      </c>
      <c r="AJ1" s="61" t="s">
        <v>155</v>
      </c>
      <c r="AK1" s="61"/>
      <c r="AL1" s="59" t="s">
        <v>156</v>
      </c>
      <c r="AM1" s="61" t="s">
        <v>157</v>
      </c>
      <c r="AN1" s="61"/>
      <c r="AO1" s="61" t="s">
        <v>158</v>
      </c>
      <c r="AP1" s="61"/>
      <c r="AQ1" s="61"/>
      <c r="AR1" s="61"/>
      <c r="AS1" s="61"/>
      <c r="AT1" s="61" t="s">
        <v>159</v>
      </c>
      <c r="AU1" s="61"/>
    </row>
    <row r="2" spans="1:47" s="2" customFormat="1" ht="15.75" thickBot="1" x14ac:dyDescent="0.3"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2" t="s">
        <v>16</v>
      </c>
      <c r="K2" s="2" t="s">
        <v>17</v>
      </c>
      <c r="L2" s="2" t="s">
        <v>18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16</v>
      </c>
      <c r="R2" s="2" t="s">
        <v>17</v>
      </c>
      <c r="S2" s="2" t="s">
        <v>18</v>
      </c>
      <c r="T2" s="2" t="s">
        <v>54</v>
      </c>
      <c r="U2" s="2" t="s">
        <v>20</v>
      </c>
      <c r="V2" s="27" t="s">
        <v>145</v>
      </c>
      <c r="W2" s="2" t="s">
        <v>21</v>
      </c>
      <c r="X2" s="2" t="s">
        <v>16</v>
      </c>
      <c r="Y2" s="2" t="s">
        <v>17</v>
      </c>
      <c r="Z2" s="2" t="s">
        <v>20</v>
      </c>
      <c r="AA2" s="2" t="s">
        <v>22</v>
      </c>
      <c r="AB2" s="2" t="s">
        <v>16</v>
      </c>
      <c r="AC2" s="2" t="s">
        <v>17</v>
      </c>
      <c r="AD2" s="2" t="s">
        <v>23</v>
      </c>
      <c r="AF2" s="2" t="s">
        <v>148</v>
      </c>
      <c r="AG2" s="2" t="s">
        <v>149</v>
      </c>
      <c r="AH2" s="63"/>
      <c r="AI2" s="63"/>
      <c r="AJ2" s="46" t="s">
        <v>160</v>
      </c>
      <c r="AK2" s="47" t="s">
        <v>161</v>
      </c>
      <c r="AL2" s="60"/>
      <c r="AM2" s="47" t="s">
        <v>162</v>
      </c>
      <c r="AN2" s="47" t="s">
        <v>163</v>
      </c>
      <c r="AO2" s="47" t="s">
        <v>164</v>
      </c>
      <c r="AP2" s="47" t="s">
        <v>165</v>
      </c>
      <c r="AQ2" s="47" t="s">
        <v>166</v>
      </c>
      <c r="AR2" s="47" t="s">
        <v>167</v>
      </c>
      <c r="AS2" s="47" t="s">
        <v>187</v>
      </c>
      <c r="AT2" s="47" t="s">
        <v>164</v>
      </c>
      <c r="AU2" s="47" t="s">
        <v>165</v>
      </c>
    </row>
    <row r="3" spans="1:47" hidden="1" x14ac:dyDescent="0.25">
      <c r="A3" s="21" t="s">
        <v>66</v>
      </c>
      <c r="B3" s="21" t="s">
        <v>67</v>
      </c>
      <c r="C3" s="21" t="s">
        <v>68</v>
      </c>
      <c r="D3" s="22" t="s">
        <v>69</v>
      </c>
      <c r="E3" s="22" t="s">
        <v>70</v>
      </c>
      <c r="F3" s="22" t="s">
        <v>71</v>
      </c>
      <c r="G3" s="22" t="s">
        <v>72</v>
      </c>
      <c r="H3" s="22" t="s">
        <v>73</v>
      </c>
      <c r="I3" s="22" t="s">
        <v>74</v>
      </c>
      <c r="J3" s="21" t="s">
        <v>75</v>
      </c>
      <c r="K3" s="21" t="s">
        <v>76</v>
      </c>
      <c r="L3" s="21" t="s">
        <v>77</v>
      </c>
      <c r="M3" s="21" t="s">
        <v>78</v>
      </c>
      <c r="N3" s="21" t="s">
        <v>79</v>
      </c>
      <c r="O3" s="21" t="s">
        <v>80</v>
      </c>
      <c r="P3" s="21" t="s">
        <v>81</v>
      </c>
      <c r="Q3" s="21" t="s">
        <v>82</v>
      </c>
      <c r="R3" s="21" t="s">
        <v>83</v>
      </c>
      <c r="S3" s="21" t="s">
        <v>84</v>
      </c>
      <c r="T3" s="21" t="s">
        <v>94</v>
      </c>
      <c r="U3" s="21" t="s">
        <v>85</v>
      </c>
      <c r="V3" s="28" t="s">
        <v>146</v>
      </c>
      <c r="W3" s="21" t="s">
        <v>86</v>
      </c>
      <c r="X3" s="21" t="s">
        <v>87</v>
      </c>
      <c r="Y3" s="21" t="s">
        <v>88</v>
      </c>
      <c r="Z3" s="21" t="s">
        <v>89</v>
      </c>
      <c r="AA3" s="21" t="s">
        <v>90</v>
      </c>
      <c r="AB3" s="21" t="s">
        <v>91</v>
      </c>
      <c r="AC3" s="21" t="s">
        <v>92</v>
      </c>
      <c r="AD3" s="21" t="s">
        <v>93</v>
      </c>
      <c r="AH3" s="58"/>
      <c r="AI3" s="58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</row>
    <row r="4" spans="1:47" x14ac:dyDescent="0.25">
      <c r="A4" s="4">
        <f>'Deployment Log'!A4</f>
        <v>0</v>
      </c>
      <c r="B4" s="4">
        <f>'Deployment Log'!S4</f>
        <v>0</v>
      </c>
      <c r="C4" s="4">
        <f>'Deployment Log'!T4</f>
        <v>0</v>
      </c>
      <c r="D4" s="5" t="str">
        <f>IF('Deployment Log'!N4&gt;DATE(2021,8,1),'Deployment Log'!N4,"n/a")</f>
        <v>n/a</v>
      </c>
      <c r="E4" s="5" t="str">
        <f>IF('Deployment Log'!O4&gt;DATE(2021,8,1),'Deployment Log'!O4,"n/a")</f>
        <v>n/a</v>
      </c>
      <c r="F4" s="5" t="str">
        <f>IF('Deployment Log'!P4&gt;DATE(2021,8,1),'Deployment Log'!P4,"n/a")</f>
        <v>n/a</v>
      </c>
      <c r="G4" s="5" t="str">
        <f>IF('Recovery Log'!L4&gt;DATE(2021,8,1),'Recovery Log'!L4,"n/a")</f>
        <v>n/a</v>
      </c>
      <c r="H4" s="5" t="str">
        <f>IF('Recovery Log'!M4&gt;DATE(2021,8,1),'Recovery Log'!M4,"n/a")</f>
        <v>n/a</v>
      </c>
      <c r="I4" s="5" t="str">
        <f>IF(MIN('Recovery Log'!N4:O4)&gt;DATE(2021,8,1),MIN('Recovery Log'!N4:O4),"n/a")</f>
        <v>n/a</v>
      </c>
      <c r="J4" s="4">
        <f>'Deployment Log'!B4</f>
        <v>0</v>
      </c>
      <c r="K4" s="4">
        <f>'Deployment Log'!C4</f>
        <v>0</v>
      </c>
      <c r="L4" s="4">
        <f>'Deployment Log'!D4</f>
        <v>0</v>
      </c>
      <c r="M4" s="4">
        <f>'Deployment Log'!I4</f>
        <v>0</v>
      </c>
      <c r="N4" s="4">
        <f>'Deployment Log'!J4</f>
        <v>0</v>
      </c>
      <c r="O4" s="4">
        <f>'Deployment Log'!K4</f>
        <v>0</v>
      </c>
      <c r="P4" s="6" t="str">
        <f>'Deployment Log'!L4</f>
        <v/>
      </c>
      <c r="U4" s="7" t="str">
        <f>IF(ISBLANK(Q4),"",2*6370*ASIN(SQRT(SIN(RADIANS(Q4-M4)/2)*SIN(RADIANS(Q4-M4)/2) + COS(RADIANS(Q4))*COS(RADIANS(M4))*SIN(RADIANS(R4-N4)/2)*SIN(RADIANS(R4-N4)/2)))*1000)</f>
        <v/>
      </c>
      <c r="V4" s="29" t="e">
        <f>ABS(U4/S4)</f>
        <v>#VALUE!</v>
      </c>
      <c r="W4" s="8" t="str">
        <f>IF(ISBLANK(Q4),"",MOD(DEGREES(ATAN2(COS(RADIANS(M4))*SIN(RADIANS(Q4)) - SIN(RADIANS(M4))*COS(RADIANS(Q4))*COS(RADIANS(R4-N4)),COS(RADIANS(Q4))*SIN(RADIANS(R4-N4)))) + 360, 360))</f>
        <v/>
      </c>
      <c r="X4" s="4" t="str">
        <f>IF('Recovery Log'!V4="","",'Recovery Log'!V4)</f>
        <v/>
      </c>
      <c r="Y4" s="4" t="str">
        <f>IF('Recovery Log'!W4="","",'Recovery Log'!W4)</f>
        <v/>
      </c>
      <c r="Z4" s="6" t="str">
        <f>'Recovery Log'!X4</f>
        <v/>
      </c>
      <c r="AA4" s="8" t="str">
        <f t="shared" ref="AA4:AA12" si="0">IF(ISBLANK(Q4),"",MOD(DEGREES(ATAN2(COS(RADIANS(Q4))*SIN(RADIANS(X4)) - SIN(RADIANS(Q4))*COS(RADIANS(X4))*COS(RADIANS(Y4-R4)),COS(RADIANS(X4))*SIN(RADIANS(Y4-R4)))) + 360, 360))</f>
        <v/>
      </c>
      <c r="AB4" s="4" t="str">
        <f>IF('Recovery Log'!Y4="","",'Recovery Log'!Y4)</f>
        <v/>
      </c>
      <c r="AC4" s="4" t="str">
        <f>IF('Recovery Log'!Z4="","",'Recovery Log'!Z4)</f>
        <v/>
      </c>
      <c r="AD4" s="6" t="str">
        <f>'Recovery Log'!AA4</f>
        <v/>
      </c>
      <c r="AF4" s="7" t="str">
        <f>IF(ISBLANK(Q4),"",2*6370*ASIN(SQRT(SIN(RADIANS(Q4-J4)/2)*SIN(RADIANS(Q4-J4)/2) + COS(RADIANS(Q4))*COS(RADIANS(J4))*SIN(RADIANS(R4-K4)/2)*SIN(RADIANS(R4-K4)/2)))*1000)</f>
        <v/>
      </c>
      <c r="AG4" s="8" t="str">
        <f>IF(ISBLANK(Q4),"",MOD(DEGREES(ATAN2(COS(RADIANS(J4))*SIN(RADIANS(Q4)) - SIN(RADIANS(J4))*COS(RADIANS(Q4))*COS(RADIANS(R4-K4)),COS(RADIANS(Q4))*SIN(RADIANS(R4-K4)))) + 360, 360))</f>
        <v/>
      </c>
      <c r="AH4" s="6" t="str">
        <f>IF('Recovery Log'!O4&gt;'Deployment Log'!M4,'Recovery Log'!O4-'Deployment Log'!M4,"n/a")</f>
        <v>n/a</v>
      </c>
      <c r="AI4" s="6" t="str">
        <f>IF(AND(ISNUMBER(G4),ISNUMBER(E4)),G4-E4,"n/a")</f>
        <v>n/a</v>
      </c>
      <c r="AJ4" s="4" t="str">
        <f>IF(ISNUMBER(AH4),'Recovery Log'!AC4/AH4,"n/a")</f>
        <v>n/a</v>
      </c>
      <c r="AK4" s="48" t="str">
        <f>IF(ISNUMBER(AJ4),1000000*AJ4/(24*60*60*1000),"n/a")</f>
        <v>n/a</v>
      </c>
      <c r="AL4" s="49" t="str">
        <f>IF(ISNUMBER(AJ4),250+AJ4/24/60/60/250,"n/a")</f>
        <v>n/a</v>
      </c>
      <c r="AM4" s="4" t="str">
        <f>IF(ISBLANK('Deployment Log'!AF4),"n/a",DEGREES(ATAN2('Deployment Log'!AF4,SQRT('Deployment Log'!AG4^2 + 'Deployment Log'!AH4^2))))</f>
        <v>n/a</v>
      </c>
      <c r="AN4" s="4" t="str">
        <f>IF(ISBLANK('Recovery Log'!P4),"n/a",DEGREES(ATAN2('Recovery Log'!P4,SQRT('Recovery Log'!Q4^2 + 'Recovery Log'!R4^2))))</f>
        <v>n/a</v>
      </c>
      <c r="AO4" s="18" t="str">
        <f>IF(AND(ISNUMBER(D4),ISNUMBER(E4)),(E4-D4)*24*60,"n/a")</f>
        <v>n/a</v>
      </c>
      <c r="AP4" s="18" t="str">
        <f>IF(AND(ISNUMBER(G4),ISNUMBER(H4)),(H4-G4)*24*60,"n/a")</f>
        <v>n/a</v>
      </c>
      <c r="AQ4" s="18" t="str">
        <f>IF(AND(ISNUMBER(G4),ISNUMBER('Recovery Log'!K4)),(G4-'Recovery Log'!K4)*24*60,"n/a")</f>
        <v>n/a</v>
      </c>
      <c r="AR4" s="18" t="str">
        <f>IF(AND(ISNUMBER(H4),ISNUMBER(I4)),(I4-H4)*24*60,"n/a")</f>
        <v>n/a</v>
      </c>
      <c r="AS4" s="18" t="str">
        <f>IF(AND(ISNUMBER('Recovery Log'!I4),ISNUMBER('Recovery Log'!N4)),('Recovery Log'!N4-'Recovery Log'!I4)*24*60,"n/a")</f>
        <v>n/a</v>
      </c>
      <c r="AT4" s="18" t="str">
        <f>IF(ISNUMBER(AO4),O4/AO4,"n/a")</f>
        <v>n/a</v>
      </c>
      <c r="AU4" s="18" t="str">
        <f>IF(ISNUMBER(AP4),O4/AP4,"n/a")</f>
        <v>n/a</v>
      </c>
    </row>
    <row r="5" spans="1:47" x14ac:dyDescent="0.25">
      <c r="A5" s="4">
        <f>'Deployment Log'!A5</f>
        <v>0</v>
      </c>
      <c r="B5" s="4">
        <f>'Deployment Log'!S5</f>
        <v>0</v>
      </c>
      <c r="C5" s="4">
        <f>'Deployment Log'!T5</f>
        <v>0</v>
      </c>
      <c r="D5" s="5" t="str">
        <f>IF('Deployment Log'!N5&gt;DATE(2021,8,1),'Deployment Log'!N5,"n/a")</f>
        <v>n/a</v>
      </c>
      <c r="E5" s="5" t="str">
        <f>IF('Deployment Log'!O5&gt;DATE(2021,8,1),'Deployment Log'!O5,"n/a")</f>
        <v>n/a</v>
      </c>
      <c r="F5" s="5" t="str">
        <f>IF('Deployment Log'!P5&gt;DATE(2021,8,1),'Deployment Log'!P5,"n/a")</f>
        <v>n/a</v>
      </c>
      <c r="G5" s="5" t="str">
        <f>IF('Recovery Log'!L5&gt;DATE(2021,8,1),'Recovery Log'!L5,"n/a")</f>
        <v>n/a</v>
      </c>
      <c r="H5" s="5" t="str">
        <f>IF('Recovery Log'!M5&gt;DATE(2021,8,1),'Recovery Log'!M5,"n/a")</f>
        <v>n/a</v>
      </c>
      <c r="I5" s="5" t="str">
        <f>IF(MIN('Recovery Log'!N5:O5)&gt;DATE(2021,8,1),MIN('Recovery Log'!N5:O5),"n/a")</f>
        <v>n/a</v>
      </c>
      <c r="J5" s="4">
        <f>'Deployment Log'!B5</f>
        <v>0</v>
      </c>
      <c r="K5" s="4">
        <f>'Deployment Log'!C5</f>
        <v>0</v>
      </c>
      <c r="L5" s="4">
        <f>'Deployment Log'!D5</f>
        <v>0</v>
      </c>
      <c r="M5" s="4">
        <f>'Deployment Log'!I5</f>
        <v>0</v>
      </c>
      <c r="N5" s="4">
        <f>'Deployment Log'!J5</f>
        <v>0</v>
      </c>
      <c r="O5" s="4">
        <f>'Deployment Log'!K5</f>
        <v>0</v>
      </c>
      <c r="P5" s="6" t="str">
        <f>'Deployment Log'!L5</f>
        <v/>
      </c>
      <c r="U5" s="7" t="str">
        <f t="shared" ref="U5:U12" si="1">IF(ISBLANK(Q5),"",2*6370*ASIN(SQRT(SIN(RADIANS(Q5-M5)/2)*SIN(RADIANS(Q5-M5)/2) + COS(RADIANS(Q5))*COS(RADIANS(M5))*SIN(RADIANS(R5-N5)/2)*SIN(RADIANS(R5-N5)/2)))*1000)</f>
        <v/>
      </c>
      <c r="V5" s="29" t="e">
        <f t="shared" ref="V5:V23" si="2">ABS(U5/S5)</f>
        <v>#VALUE!</v>
      </c>
      <c r="W5" s="8" t="str">
        <f t="shared" ref="W5:W12" si="3">IF(ISBLANK(Q5),"",MOD(DEGREES(ATAN2(COS(RADIANS(M5))*SIN(RADIANS(Q5)) - SIN(RADIANS(M5))*COS(RADIANS(Q5))*COS(RADIANS(R5-N5)),COS(RADIANS(Q5))*SIN(RADIANS(R5-N5)))) + 360, 360))</f>
        <v/>
      </c>
      <c r="X5" s="4" t="str">
        <f>IF('Recovery Log'!V5="","",'Recovery Log'!V5)</f>
        <v/>
      </c>
      <c r="Y5" s="4" t="str">
        <f>IF('Recovery Log'!W5="","",'Recovery Log'!W5)</f>
        <v/>
      </c>
      <c r="Z5" s="6" t="str">
        <f>'Recovery Log'!X5</f>
        <v/>
      </c>
      <c r="AA5" s="8" t="str">
        <f t="shared" si="0"/>
        <v/>
      </c>
      <c r="AB5" s="4" t="str">
        <f>IF('Recovery Log'!Y5="","",'Recovery Log'!Y5)</f>
        <v/>
      </c>
      <c r="AC5" s="4" t="str">
        <f>IF('Recovery Log'!Z5="","",'Recovery Log'!Z5)</f>
        <v/>
      </c>
      <c r="AD5" s="6" t="str">
        <f>'Recovery Log'!AA5</f>
        <v/>
      </c>
      <c r="AF5" s="7" t="str">
        <f t="shared" ref="AF5:AF22" si="4">IF(ISBLANK(Q5),"",2*6370*ASIN(SQRT(SIN(RADIANS(Q5-J5)/2)*SIN(RADIANS(Q5-J5)/2) + COS(RADIANS(Q5))*COS(RADIANS(J5))*SIN(RADIANS(R5-K5)/2)*SIN(RADIANS(R5-K5)/2)))*1000)</f>
        <v/>
      </c>
      <c r="AG5" s="8" t="str">
        <f t="shared" ref="AG5:AG22" si="5">IF(ISBLANK(Q5),"",MOD(DEGREES(ATAN2(COS(RADIANS(J5))*SIN(RADIANS(Q5)) - SIN(RADIANS(J5))*COS(RADIANS(Q5))*COS(RADIANS(R5-K5)),COS(RADIANS(Q5))*SIN(RADIANS(R5-K5)))) + 360, 360))</f>
        <v/>
      </c>
      <c r="AH5" s="6" t="str">
        <f>IF('Recovery Log'!O5&gt;'Deployment Log'!M5,'Recovery Log'!O5-'Deployment Log'!M5,"n/a")</f>
        <v>n/a</v>
      </c>
      <c r="AI5" s="6" t="str">
        <f t="shared" ref="AI5:AI23" si="6">IF(AND(ISNUMBER(G5),ISNUMBER(E5)),G5-E5,"n/a")</f>
        <v>n/a</v>
      </c>
      <c r="AJ5" s="4" t="str">
        <f>IF(ISNUMBER(AH5),'Recovery Log'!AC5/AH5,"n/a")</f>
        <v>n/a</v>
      </c>
      <c r="AK5" s="48" t="str">
        <f t="shared" ref="AK5:AK23" si="7">IF(ISNUMBER(AJ5),1000000*AJ5/(24*60*60*1000),"n/a")</f>
        <v>n/a</v>
      </c>
      <c r="AL5" s="49" t="str">
        <f t="shared" ref="AL5:AL23" si="8">IF(ISNUMBER(AJ5),250+AJ5/24/60/60/250,"n/a")</f>
        <v>n/a</v>
      </c>
      <c r="AM5" s="4" t="str">
        <f>IF(ISBLANK('Deployment Log'!AF5),"n/a",DEGREES(ATAN2('Deployment Log'!AF5,SQRT('Deployment Log'!AG5^2 + 'Deployment Log'!AH5^2))))</f>
        <v>n/a</v>
      </c>
      <c r="AN5" s="4" t="str">
        <f>IF(ISBLANK('Recovery Log'!P5),"n/a",DEGREES(ATAN2('Recovery Log'!P5,SQRT('Recovery Log'!Q5^2 + 'Recovery Log'!R5^2))))</f>
        <v>n/a</v>
      </c>
      <c r="AO5" s="18" t="str">
        <f>IF(AND(ISNUMBER(D5),ISNUMBER(E5)),(E5-D5)*24*60,"n/a")</f>
        <v>n/a</v>
      </c>
      <c r="AP5" s="18" t="str">
        <f>IF(AND(ISNUMBER(G5),ISNUMBER(H5)),(H5-G5)*24*60,"n/a")</f>
        <v>n/a</v>
      </c>
      <c r="AQ5" s="18" t="str">
        <f>IF(AND(ISNUMBER(G5),ISNUMBER('Recovery Log'!K5)),(G5-'Recovery Log'!K5)*24*60,"n/a")</f>
        <v>n/a</v>
      </c>
      <c r="AR5" s="18" t="str">
        <f>IF(AND(ISNUMBER(H5),ISNUMBER(I5)),(I5-H5)*24*60,"n/a")</f>
        <v>n/a</v>
      </c>
      <c r="AS5" s="18" t="str">
        <f>IF(AND(ISNUMBER('Recovery Log'!I5),ISNUMBER('Recovery Log'!N5)),('Recovery Log'!N5-'Recovery Log'!I5)*24*60,"n/a")</f>
        <v>n/a</v>
      </c>
      <c r="AT5" s="18" t="str">
        <f>IF(ISNUMBER(AO5),O5/AO5,"n/a")</f>
        <v>n/a</v>
      </c>
      <c r="AU5" s="18" t="str">
        <f>IF(ISNUMBER(AP5),O5/AP5,"n/a")</f>
        <v>n/a</v>
      </c>
    </row>
    <row r="6" spans="1:47" x14ac:dyDescent="0.25">
      <c r="A6" s="4">
        <f>'Deployment Log'!A6</f>
        <v>0</v>
      </c>
      <c r="B6" s="4">
        <f>'Deployment Log'!S6</f>
        <v>0</v>
      </c>
      <c r="C6" s="4">
        <f>'Deployment Log'!T6</f>
        <v>0</v>
      </c>
      <c r="D6" s="5" t="str">
        <f>IF('Deployment Log'!N6&gt;DATE(2021,8,1),'Deployment Log'!N6,"n/a")</f>
        <v>n/a</v>
      </c>
      <c r="E6" s="5" t="str">
        <f>IF('Deployment Log'!O6&gt;DATE(2021,8,1),'Deployment Log'!O6,"n/a")</f>
        <v>n/a</v>
      </c>
      <c r="F6" s="5" t="str">
        <f>IF('Deployment Log'!P6&gt;DATE(2021,8,1),'Deployment Log'!P6,"n/a")</f>
        <v>n/a</v>
      </c>
      <c r="G6" s="5" t="str">
        <f>IF('Recovery Log'!L6&gt;DATE(2021,8,1),'Recovery Log'!L6,"n/a")</f>
        <v>n/a</v>
      </c>
      <c r="H6" s="5" t="str">
        <f>IF('Recovery Log'!M6&gt;DATE(2021,8,1),'Recovery Log'!M6,"n/a")</f>
        <v>n/a</v>
      </c>
      <c r="I6" s="5" t="str">
        <f>IF(MIN('Recovery Log'!N6:O6)&gt;DATE(2021,8,1),MIN('Recovery Log'!N6:O6),"n/a")</f>
        <v>n/a</v>
      </c>
      <c r="J6" s="4">
        <f>'Deployment Log'!B6</f>
        <v>0</v>
      </c>
      <c r="K6" s="4">
        <f>'Deployment Log'!C6</f>
        <v>0</v>
      </c>
      <c r="L6" s="4">
        <f>'Deployment Log'!D6</f>
        <v>0</v>
      </c>
      <c r="M6" s="4">
        <f>'Deployment Log'!I6</f>
        <v>0</v>
      </c>
      <c r="N6" s="4">
        <f>'Deployment Log'!J6</f>
        <v>0</v>
      </c>
      <c r="O6" s="4">
        <f>'Deployment Log'!K6</f>
        <v>0</v>
      </c>
      <c r="P6" s="6" t="str">
        <f>'Deployment Log'!L6</f>
        <v/>
      </c>
      <c r="U6" s="7" t="str">
        <f t="shared" si="1"/>
        <v/>
      </c>
      <c r="V6" s="29" t="e">
        <f t="shared" si="2"/>
        <v>#VALUE!</v>
      </c>
      <c r="W6" s="8" t="str">
        <f t="shared" si="3"/>
        <v/>
      </c>
      <c r="X6" s="4" t="str">
        <f>IF('Recovery Log'!V6="","",'Recovery Log'!V6)</f>
        <v/>
      </c>
      <c r="Y6" s="4" t="str">
        <f>IF('Recovery Log'!W6="","",'Recovery Log'!W6)</f>
        <v/>
      </c>
      <c r="Z6" s="6" t="str">
        <f>'Recovery Log'!X6</f>
        <v/>
      </c>
      <c r="AA6" s="8" t="str">
        <f t="shared" si="0"/>
        <v/>
      </c>
      <c r="AB6" s="4" t="str">
        <f>IF('Recovery Log'!Y6="","",'Recovery Log'!Y6)</f>
        <v/>
      </c>
      <c r="AC6" s="4" t="str">
        <f>IF('Recovery Log'!Z6="","",'Recovery Log'!Z6)</f>
        <v/>
      </c>
      <c r="AD6" s="6" t="str">
        <f>'Recovery Log'!AA6</f>
        <v/>
      </c>
      <c r="AF6" s="7" t="str">
        <f t="shared" si="4"/>
        <v/>
      </c>
      <c r="AG6" s="8" t="str">
        <f t="shared" si="5"/>
        <v/>
      </c>
      <c r="AH6" s="6" t="str">
        <f>IF('Recovery Log'!O6&gt;'Deployment Log'!M6,'Recovery Log'!O6-'Deployment Log'!M6,"n/a")</f>
        <v>n/a</v>
      </c>
      <c r="AI6" s="6" t="str">
        <f t="shared" si="6"/>
        <v>n/a</v>
      </c>
      <c r="AJ6" s="4" t="str">
        <f>IF(ISNUMBER(AH6),'Recovery Log'!AC6/AH6,"n/a")</f>
        <v>n/a</v>
      </c>
      <c r="AK6" s="48" t="str">
        <f t="shared" si="7"/>
        <v>n/a</v>
      </c>
      <c r="AL6" s="49" t="str">
        <f t="shared" si="8"/>
        <v>n/a</v>
      </c>
      <c r="AM6" s="4" t="str">
        <f>IF(ISBLANK('Deployment Log'!AF6),"n/a",DEGREES(ATAN2('Deployment Log'!AF6,SQRT('Deployment Log'!AG6^2 + 'Deployment Log'!AH6^2))))</f>
        <v>n/a</v>
      </c>
      <c r="AN6" s="4" t="str">
        <f>IF(ISBLANK('Recovery Log'!P6),"n/a",DEGREES(ATAN2('Recovery Log'!P6,SQRT('Recovery Log'!Q6^2 + 'Recovery Log'!R6^2))))</f>
        <v>n/a</v>
      </c>
      <c r="AO6" s="18" t="str">
        <f>IF(AND(ISNUMBER(D6),ISNUMBER(E6)),(E6-D6)*24*60,"n/a")</f>
        <v>n/a</v>
      </c>
      <c r="AP6" s="18" t="str">
        <f>IF(AND(ISNUMBER(G6),ISNUMBER(H6)),(H6-G6)*24*60,"n/a")</f>
        <v>n/a</v>
      </c>
      <c r="AQ6" s="18" t="str">
        <f>IF(AND(ISNUMBER(G6),ISNUMBER('Recovery Log'!K6)),(G6-'Recovery Log'!K6)*24*60,"n/a")</f>
        <v>n/a</v>
      </c>
      <c r="AR6" s="18" t="str">
        <f>IF(AND(ISNUMBER(H6),ISNUMBER(I6)),(I6-H6)*24*60,"n/a")</f>
        <v>n/a</v>
      </c>
      <c r="AS6" s="18" t="str">
        <f>IF(AND(ISNUMBER('Recovery Log'!I6),ISNUMBER('Recovery Log'!N6)),('Recovery Log'!N6-'Recovery Log'!I6)*24*60,"n/a")</f>
        <v>n/a</v>
      </c>
      <c r="AT6" s="18" t="str">
        <f>IF(ISNUMBER(AO6),O6/AO6,"n/a")</f>
        <v>n/a</v>
      </c>
      <c r="AU6" s="18" t="str">
        <f>IF(ISNUMBER(AP6),O6/AP6,"n/a")</f>
        <v>n/a</v>
      </c>
    </row>
    <row r="7" spans="1:47" x14ac:dyDescent="0.25">
      <c r="A7" s="4">
        <f>'Deployment Log'!A7</f>
        <v>0</v>
      </c>
      <c r="B7" s="4">
        <f>'Deployment Log'!S7</f>
        <v>0</v>
      </c>
      <c r="C7" s="4">
        <f>'Deployment Log'!T7</f>
        <v>0</v>
      </c>
      <c r="D7" s="5" t="str">
        <f>IF('Deployment Log'!N7&gt;DATE(2021,8,1),'Deployment Log'!N7,"n/a")</f>
        <v>n/a</v>
      </c>
      <c r="E7" s="5" t="str">
        <f>IF('Deployment Log'!O7&gt;DATE(2021,8,1),'Deployment Log'!O7,"n/a")</f>
        <v>n/a</v>
      </c>
      <c r="F7" s="5" t="str">
        <f>IF('Deployment Log'!P7&gt;DATE(2021,8,1),'Deployment Log'!P7,"n/a")</f>
        <v>n/a</v>
      </c>
      <c r="G7" s="5" t="str">
        <f>IF('Recovery Log'!L7&gt;DATE(2021,8,1),'Recovery Log'!L7,"n/a")</f>
        <v>n/a</v>
      </c>
      <c r="H7" s="5" t="str">
        <f>IF('Recovery Log'!M7&gt;DATE(2021,8,1),'Recovery Log'!M7,"n/a")</f>
        <v>n/a</v>
      </c>
      <c r="I7" s="5" t="str">
        <f>IF(MIN('Recovery Log'!N7:O7)&gt;DATE(2021,8,1),MIN('Recovery Log'!N7:O7),"n/a")</f>
        <v>n/a</v>
      </c>
      <c r="J7" s="4">
        <f>'Deployment Log'!B7</f>
        <v>0</v>
      </c>
      <c r="K7" s="4">
        <f>'Deployment Log'!C7</f>
        <v>0</v>
      </c>
      <c r="L7" s="4">
        <f>'Deployment Log'!D7</f>
        <v>0</v>
      </c>
      <c r="M7" s="4">
        <f>'Deployment Log'!I7</f>
        <v>0</v>
      </c>
      <c r="N7" s="4">
        <f>'Deployment Log'!J7</f>
        <v>0</v>
      </c>
      <c r="O7" s="4">
        <f>'Deployment Log'!K7</f>
        <v>0</v>
      </c>
      <c r="P7" s="6" t="str">
        <f>'Deployment Log'!L7</f>
        <v/>
      </c>
      <c r="U7" s="7" t="str">
        <f t="shared" si="1"/>
        <v/>
      </c>
      <c r="V7" s="29" t="e">
        <f t="shared" si="2"/>
        <v>#VALUE!</v>
      </c>
      <c r="W7" s="8" t="str">
        <f t="shared" si="3"/>
        <v/>
      </c>
      <c r="X7" s="4" t="str">
        <f>IF('Recovery Log'!V7="","",'Recovery Log'!V7)</f>
        <v/>
      </c>
      <c r="Y7" s="4" t="str">
        <f>IF('Recovery Log'!W7="","",'Recovery Log'!W7)</f>
        <v/>
      </c>
      <c r="Z7" s="6" t="str">
        <f>'Recovery Log'!X7</f>
        <v/>
      </c>
      <c r="AA7" s="8" t="str">
        <f t="shared" si="0"/>
        <v/>
      </c>
      <c r="AB7" s="4" t="str">
        <f>IF('Recovery Log'!Y7="","",'Recovery Log'!Y7)</f>
        <v/>
      </c>
      <c r="AC7" s="4" t="str">
        <f>IF('Recovery Log'!Z7="","",'Recovery Log'!Z7)</f>
        <v/>
      </c>
      <c r="AD7" s="6" t="str">
        <f>'Recovery Log'!AA7</f>
        <v/>
      </c>
      <c r="AF7" s="7" t="str">
        <f t="shared" si="4"/>
        <v/>
      </c>
      <c r="AG7" s="8" t="str">
        <f t="shared" si="5"/>
        <v/>
      </c>
      <c r="AH7" s="6" t="str">
        <f>IF('Recovery Log'!O7&gt;'Deployment Log'!M7,'Recovery Log'!O7-'Deployment Log'!M7,"n/a")</f>
        <v>n/a</v>
      </c>
      <c r="AI7" s="6" t="str">
        <f t="shared" si="6"/>
        <v>n/a</v>
      </c>
      <c r="AJ7" s="4" t="str">
        <f>IF(ISNUMBER(AH7),'Recovery Log'!AC7/AH7,"n/a")</f>
        <v>n/a</v>
      </c>
      <c r="AK7" s="48" t="str">
        <f t="shared" si="7"/>
        <v>n/a</v>
      </c>
      <c r="AL7" s="49" t="str">
        <f t="shared" si="8"/>
        <v>n/a</v>
      </c>
      <c r="AM7" s="4" t="str">
        <f>IF(ISBLANK('Deployment Log'!AF7),"n/a",DEGREES(ATAN2('Deployment Log'!AF7,SQRT('Deployment Log'!AG7^2 + 'Deployment Log'!AH7^2))))</f>
        <v>n/a</v>
      </c>
      <c r="AN7" s="4" t="str">
        <f>IF(ISBLANK('Recovery Log'!P7),"n/a",DEGREES(ATAN2('Recovery Log'!P7,SQRT('Recovery Log'!Q7^2 + 'Recovery Log'!R7^2))))</f>
        <v>n/a</v>
      </c>
      <c r="AO7" s="18" t="str">
        <f>IF(AND(ISNUMBER(D7),ISNUMBER(E7)),(E7-D7)*24*60,"n/a")</f>
        <v>n/a</v>
      </c>
      <c r="AP7" s="18" t="str">
        <f>IF(AND(ISNUMBER(G7),ISNUMBER(H7)),(H7-G7)*24*60,"n/a")</f>
        <v>n/a</v>
      </c>
      <c r="AQ7" s="18" t="str">
        <f>IF(AND(ISNUMBER(G7),ISNUMBER('Recovery Log'!K7)),(G7-'Recovery Log'!K7)*24*60,"n/a")</f>
        <v>n/a</v>
      </c>
      <c r="AR7" s="18" t="str">
        <f>IF(AND(ISNUMBER(H7),ISNUMBER(I7)),(I7-H7)*24*60,"n/a")</f>
        <v>n/a</v>
      </c>
      <c r="AS7" s="18" t="str">
        <f>IF(AND(ISNUMBER('Recovery Log'!I7),ISNUMBER('Recovery Log'!N7)),('Recovery Log'!N7-'Recovery Log'!I7)*24*60,"n/a")</f>
        <v>n/a</v>
      </c>
      <c r="AT7" s="18" t="str">
        <f>IF(ISNUMBER(AO7),O7/AO7,"n/a")</f>
        <v>n/a</v>
      </c>
      <c r="AU7" s="18" t="str">
        <f>IF(ISNUMBER(AP7),O7/AP7,"n/a")</f>
        <v>n/a</v>
      </c>
    </row>
    <row r="8" spans="1:47" x14ac:dyDescent="0.25">
      <c r="A8" s="4">
        <f>'Deployment Log'!A8</f>
        <v>0</v>
      </c>
      <c r="B8" s="4">
        <f>'Deployment Log'!S8</f>
        <v>0</v>
      </c>
      <c r="C8" s="4">
        <f>'Deployment Log'!T8</f>
        <v>0</v>
      </c>
      <c r="D8" s="5" t="str">
        <f>IF('Deployment Log'!N8&gt;DATE(2021,8,1),'Deployment Log'!N8,"n/a")</f>
        <v>n/a</v>
      </c>
      <c r="E8" s="5" t="str">
        <f>IF('Deployment Log'!O8&gt;DATE(2021,8,1),'Deployment Log'!O8,"n/a")</f>
        <v>n/a</v>
      </c>
      <c r="F8" s="5" t="str">
        <f>IF('Deployment Log'!P8&gt;DATE(2021,8,1),'Deployment Log'!P8,"n/a")</f>
        <v>n/a</v>
      </c>
      <c r="G8" s="5" t="str">
        <f>IF('Recovery Log'!L8&gt;DATE(2021,8,1),'Recovery Log'!L8,"n/a")</f>
        <v>n/a</v>
      </c>
      <c r="H8" s="5" t="str">
        <f>IF('Recovery Log'!M8&gt;DATE(2021,8,1),'Recovery Log'!M8,"n/a")</f>
        <v>n/a</v>
      </c>
      <c r="I8" s="5" t="str">
        <f>IF(MIN('Recovery Log'!N8:O8)&gt;DATE(2021,8,1),MIN('Recovery Log'!N8:O8),"n/a")</f>
        <v>n/a</v>
      </c>
      <c r="J8" s="4">
        <f>'Deployment Log'!B8</f>
        <v>0</v>
      </c>
      <c r="K8" s="4">
        <f>'Deployment Log'!C8</f>
        <v>0</v>
      </c>
      <c r="L8" s="4">
        <f>'Deployment Log'!D8</f>
        <v>0</v>
      </c>
      <c r="M8" s="4">
        <f>'Deployment Log'!I8</f>
        <v>0</v>
      </c>
      <c r="N8" s="4">
        <f>'Deployment Log'!J8</f>
        <v>0</v>
      </c>
      <c r="O8" s="4">
        <f>'Deployment Log'!K8</f>
        <v>0</v>
      </c>
      <c r="P8" s="6" t="str">
        <f>'Deployment Log'!L8</f>
        <v/>
      </c>
      <c r="U8" s="7" t="str">
        <f t="shared" si="1"/>
        <v/>
      </c>
      <c r="V8" s="29" t="e">
        <f t="shared" si="2"/>
        <v>#VALUE!</v>
      </c>
      <c r="W8" s="8" t="str">
        <f t="shared" si="3"/>
        <v/>
      </c>
      <c r="X8" s="4" t="str">
        <f>IF('Recovery Log'!V8="","",'Recovery Log'!V8)</f>
        <v/>
      </c>
      <c r="Y8" s="4" t="str">
        <f>IF('Recovery Log'!W8="","",'Recovery Log'!W8)</f>
        <v/>
      </c>
      <c r="Z8" s="6" t="str">
        <f>'Recovery Log'!X8</f>
        <v/>
      </c>
      <c r="AA8" s="8" t="str">
        <f t="shared" si="0"/>
        <v/>
      </c>
      <c r="AB8" s="4" t="str">
        <f>IF('Recovery Log'!Y8="","",'Recovery Log'!Y8)</f>
        <v/>
      </c>
      <c r="AC8" s="4" t="str">
        <f>IF('Recovery Log'!Z8="","",'Recovery Log'!Z8)</f>
        <v/>
      </c>
      <c r="AD8" s="6" t="str">
        <f>'Recovery Log'!AA8</f>
        <v/>
      </c>
      <c r="AF8" s="7" t="str">
        <f t="shared" si="4"/>
        <v/>
      </c>
      <c r="AG8" s="8" t="str">
        <f t="shared" si="5"/>
        <v/>
      </c>
      <c r="AH8" s="6" t="str">
        <f>IF('Recovery Log'!O8&gt;'Deployment Log'!M8,'Recovery Log'!O8-'Deployment Log'!M8,"n/a")</f>
        <v>n/a</v>
      </c>
      <c r="AI8" s="6" t="str">
        <f t="shared" si="6"/>
        <v>n/a</v>
      </c>
      <c r="AJ8" s="4" t="str">
        <f>IF(ISNUMBER(AH8),'Recovery Log'!AC8/AH8,"n/a")</f>
        <v>n/a</v>
      </c>
      <c r="AK8" s="48" t="str">
        <f t="shared" si="7"/>
        <v>n/a</v>
      </c>
      <c r="AL8" s="49" t="str">
        <f t="shared" si="8"/>
        <v>n/a</v>
      </c>
      <c r="AM8" s="4" t="str">
        <f>IF(ISBLANK('Deployment Log'!AF8),"n/a",DEGREES(ATAN2('Deployment Log'!AF8,SQRT('Deployment Log'!AG8^2 + 'Deployment Log'!AH8^2))))</f>
        <v>n/a</v>
      </c>
      <c r="AN8" s="4" t="str">
        <f>IF(ISBLANK('Recovery Log'!P8),"n/a",DEGREES(ATAN2('Recovery Log'!P8,SQRT('Recovery Log'!Q8^2 + 'Recovery Log'!R8^2))))</f>
        <v>n/a</v>
      </c>
      <c r="AO8" s="18" t="str">
        <f>IF(AND(ISNUMBER(D8),ISNUMBER(E8)),(E8-D8)*24*60,"n/a")</f>
        <v>n/a</v>
      </c>
      <c r="AP8" s="18" t="str">
        <f>IF(AND(ISNUMBER(G8),ISNUMBER(H8)),(H8-G8)*24*60,"n/a")</f>
        <v>n/a</v>
      </c>
      <c r="AQ8" s="18" t="str">
        <f>IF(AND(ISNUMBER(G8),ISNUMBER('Recovery Log'!K8)),(G8-'Recovery Log'!K8)*24*60,"n/a")</f>
        <v>n/a</v>
      </c>
      <c r="AR8" s="18" t="str">
        <f>IF(AND(ISNUMBER(H8),ISNUMBER(I8)),(I8-H8)*24*60,"n/a")</f>
        <v>n/a</v>
      </c>
      <c r="AS8" s="18" t="str">
        <f>IF(AND(ISNUMBER('Recovery Log'!I8),ISNUMBER('Recovery Log'!N8)),('Recovery Log'!N8-'Recovery Log'!I8)*24*60,"n/a")</f>
        <v>n/a</v>
      </c>
      <c r="AT8" s="18" t="str">
        <f>IF(ISNUMBER(AO8),O8/AO8,"n/a")</f>
        <v>n/a</v>
      </c>
      <c r="AU8" s="18" t="str">
        <f>IF(ISNUMBER(AP8),O8/AP8,"n/a")</f>
        <v>n/a</v>
      </c>
    </row>
    <row r="9" spans="1:47" x14ac:dyDescent="0.25">
      <c r="A9" s="4">
        <f>'Deployment Log'!A9</f>
        <v>0</v>
      </c>
      <c r="B9" s="4">
        <f>'Deployment Log'!S9</f>
        <v>0</v>
      </c>
      <c r="C9" s="4">
        <f>'Deployment Log'!T9</f>
        <v>0</v>
      </c>
      <c r="D9" s="5" t="str">
        <f>IF('Deployment Log'!N9&gt;DATE(2021,8,1),'Deployment Log'!N9,"n/a")</f>
        <v>n/a</v>
      </c>
      <c r="E9" s="5" t="str">
        <f>IF('Deployment Log'!O9&gt;DATE(2021,8,1),'Deployment Log'!O9,"n/a")</f>
        <v>n/a</v>
      </c>
      <c r="F9" s="5" t="str">
        <f>IF('Deployment Log'!P9&gt;DATE(2021,8,1),'Deployment Log'!P9,"n/a")</f>
        <v>n/a</v>
      </c>
      <c r="G9" s="5" t="str">
        <f>IF('Recovery Log'!L9&gt;DATE(2021,8,1),'Recovery Log'!L9,"n/a")</f>
        <v>n/a</v>
      </c>
      <c r="H9" s="5" t="str">
        <f>IF('Recovery Log'!M9&gt;DATE(2021,8,1),'Recovery Log'!M9,"n/a")</f>
        <v>n/a</v>
      </c>
      <c r="I9" s="5" t="str">
        <f>IF(MIN('Recovery Log'!N9:O9)&gt;DATE(2021,8,1),MIN('Recovery Log'!N9:O9),"n/a")</f>
        <v>n/a</v>
      </c>
      <c r="J9" s="4">
        <f>'Deployment Log'!B9</f>
        <v>0</v>
      </c>
      <c r="K9" s="4">
        <f>'Deployment Log'!C9</f>
        <v>0</v>
      </c>
      <c r="L9" s="4">
        <f>'Deployment Log'!D9</f>
        <v>0</v>
      </c>
      <c r="M9" s="4">
        <f>'Deployment Log'!I9</f>
        <v>0</v>
      </c>
      <c r="N9" s="4">
        <f>'Deployment Log'!J9</f>
        <v>0</v>
      </c>
      <c r="O9" s="4">
        <f>'Deployment Log'!K9</f>
        <v>0</v>
      </c>
      <c r="P9" s="6" t="str">
        <f>'Deployment Log'!L9</f>
        <v/>
      </c>
      <c r="U9" s="7" t="str">
        <f t="shared" si="1"/>
        <v/>
      </c>
      <c r="V9" s="29" t="e">
        <f t="shared" si="2"/>
        <v>#VALUE!</v>
      </c>
      <c r="W9" s="8" t="str">
        <f t="shared" si="3"/>
        <v/>
      </c>
      <c r="X9" s="4" t="str">
        <f>IF('Recovery Log'!V9="","",'Recovery Log'!V9)</f>
        <v/>
      </c>
      <c r="Y9" s="4" t="str">
        <f>IF('Recovery Log'!W9="","",'Recovery Log'!W9)</f>
        <v/>
      </c>
      <c r="Z9" s="6" t="str">
        <f>'Recovery Log'!X9</f>
        <v/>
      </c>
      <c r="AA9" s="8" t="str">
        <f t="shared" si="0"/>
        <v/>
      </c>
      <c r="AB9" s="4" t="str">
        <f>IF('Recovery Log'!Y9="","",'Recovery Log'!Y9)</f>
        <v/>
      </c>
      <c r="AC9" s="4" t="str">
        <f>IF('Recovery Log'!Z9="","",'Recovery Log'!Z9)</f>
        <v/>
      </c>
      <c r="AD9" s="6" t="str">
        <f>'Recovery Log'!AA9</f>
        <v/>
      </c>
      <c r="AF9" s="7" t="str">
        <f t="shared" si="4"/>
        <v/>
      </c>
      <c r="AG9" s="8" t="str">
        <f t="shared" si="5"/>
        <v/>
      </c>
      <c r="AH9" s="6" t="str">
        <f>IF('Recovery Log'!O9&gt;'Deployment Log'!M9,'Recovery Log'!O9-'Deployment Log'!M9,"n/a")</f>
        <v>n/a</v>
      </c>
      <c r="AI9" s="6" t="str">
        <f t="shared" si="6"/>
        <v>n/a</v>
      </c>
      <c r="AJ9" s="4" t="str">
        <f>IF(ISNUMBER(AH9),'Recovery Log'!AC9/AH9,"n/a")</f>
        <v>n/a</v>
      </c>
      <c r="AK9" s="48" t="str">
        <f t="shared" si="7"/>
        <v>n/a</v>
      </c>
      <c r="AL9" s="49" t="str">
        <f t="shared" si="8"/>
        <v>n/a</v>
      </c>
      <c r="AM9" s="4" t="str">
        <f>IF(ISBLANK('Deployment Log'!AF9),"n/a",DEGREES(ATAN2('Deployment Log'!AF9,SQRT('Deployment Log'!AG9^2 + 'Deployment Log'!AH9^2))))</f>
        <v>n/a</v>
      </c>
      <c r="AN9" s="4" t="str">
        <f>IF(ISBLANK('Recovery Log'!P9),"n/a",DEGREES(ATAN2('Recovery Log'!P9,SQRT('Recovery Log'!Q9^2 + 'Recovery Log'!R9^2))))</f>
        <v>n/a</v>
      </c>
      <c r="AO9" s="18" t="str">
        <f>IF(AND(ISNUMBER(D9),ISNUMBER(E9)),(E9-D9)*24*60,"n/a")</f>
        <v>n/a</v>
      </c>
      <c r="AP9" s="18" t="str">
        <f>IF(AND(ISNUMBER(G9),ISNUMBER(H9)),(H9-G9)*24*60,"n/a")</f>
        <v>n/a</v>
      </c>
      <c r="AQ9" s="18" t="str">
        <f>IF(AND(ISNUMBER(G9),ISNUMBER('Recovery Log'!K9)),(G9-'Recovery Log'!K9)*24*60,"n/a")</f>
        <v>n/a</v>
      </c>
      <c r="AR9" s="18" t="str">
        <f>IF(AND(ISNUMBER(H9),ISNUMBER(I9)),(I9-H9)*24*60,"n/a")</f>
        <v>n/a</v>
      </c>
      <c r="AS9" s="18" t="str">
        <f>IF(AND(ISNUMBER('Recovery Log'!I9),ISNUMBER('Recovery Log'!N9)),('Recovery Log'!N9-'Recovery Log'!I9)*24*60,"n/a")</f>
        <v>n/a</v>
      </c>
      <c r="AT9" s="18" t="str">
        <f>IF(ISNUMBER(AO9),O9/AO9,"n/a")</f>
        <v>n/a</v>
      </c>
      <c r="AU9" s="18" t="str">
        <f>IF(ISNUMBER(AP9),O9/AP9,"n/a")</f>
        <v>n/a</v>
      </c>
    </row>
    <row r="10" spans="1:47" x14ac:dyDescent="0.25">
      <c r="A10" s="4">
        <f>'Deployment Log'!A10</f>
        <v>0</v>
      </c>
      <c r="B10" s="4">
        <f>'Deployment Log'!S10</f>
        <v>0</v>
      </c>
      <c r="C10" s="4">
        <f>'Deployment Log'!T10</f>
        <v>0</v>
      </c>
      <c r="D10" s="5" t="str">
        <f>IF('Deployment Log'!N10&gt;DATE(2021,8,1),'Deployment Log'!N10,"n/a")</f>
        <v>n/a</v>
      </c>
      <c r="E10" s="5" t="str">
        <f>IF('Deployment Log'!O10&gt;DATE(2021,8,1),'Deployment Log'!O10,"n/a")</f>
        <v>n/a</v>
      </c>
      <c r="F10" s="5" t="str">
        <f>IF('Deployment Log'!P10&gt;DATE(2021,8,1),'Deployment Log'!P10,"n/a")</f>
        <v>n/a</v>
      </c>
      <c r="G10" s="5" t="str">
        <f>IF('Recovery Log'!L10&gt;DATE(2021,8,1),'Recovery Log'!L10,"n/a")</f>
        <v>n/a</v>
      </c>
      <c r="H10" s="5" t="str">
        <f>IF('Recovery Log'!M10&gt;DATE(2021,8,1),'Recovery Log'!M10,"n/a")</f>
        <v>n/a</v>
      </c>
      <c r="I10" s="5" t="str">
        <f>IF(MIN('Recovery Log'!N10:O10)&gt;DATE(2021,8,1),MIN('Recovery Log'!N10:O10),"n/a")</f>
        <v>n/a</v>
      </c>
      <c r="J10" s="4">
        <f>'Deployment Log'!B10</f>
        <v>0</v>
      </c>
      <c r="K10" s="4">
        <f>'Deployment Log'!C10</f>
        <v>0</v>
      </c>
      <c r="L10" s="4">
        <f>'Deployment Log'!D10</f>
        <v>0</v>
      </c>
      <c r="M10" s="4">
        <f>'Deployment Log'!I10</f>
        <v>0</v>
      </c>
      <c r="N10" s="4">
        <f>'Deployment Log'!J10</f>
        <v>0</v>
      </c>
      <c r="O10" s="4">
        <f>'Deployment Log'!K10</f>
        <v>0</v>
      </c>
      <c r="P10" s="6" t="str">
        <f>'Deployment Log'!L10</f>
        <v/>
      </c>
      <c r="U10" s="7" t="str">
        <f t="shared" si="1"/>
        <v/>
      </c>
      <c r="V10" s="29" t="e">
        <f t="shared" si="2"/>
        <v>#VALUE!</v>
      </c>
      <c r="W10" s="8" t="str">
        <f t="shared" si="3"/>
        <v/>
      </c>
      <c r="X10" s="4" t="str">
        <f>IF('Recovery Log'!V10="","",'Recovery Log'!V10)</f>
        <v/>
      </c>
      <c r="Y10" s="4" t="str">
        <f>IF('Recovery Log'!W10="","",'Recovery Log'!W10)</f>
        <v/>
      </c>
      <c r="Z10" s="6" t="str">
        <f>'Recovery Log'!X10</f>
        <v/>
      </c>
      <c r="AA10" s="8" t="str">
        <f t="shared" si="0"/>
        <v/>
      </c>
      <c r="AB10" s="4" t="str">
        <f>IF('Recovery Log'!Y10="","",'Recovery Log'!Y10)</f>
        <v/>
      </c>
      <c r="AC10" s="4" t="str">
        <f>IF('Recovery Log'!Z10="","",'Recovery Log'!Z10)</f>
        <v/>
      </c>
      <c r="AD10" s="6" t="str">
        <f>'Recovery Log'!AA10</f>
        <v/>
      </c>
      <c r="AF10" s="7" t="str">
        <f t="shared" si="4"/>
        <v/>
      </c>
      <c r="AG10" s="8" t="str">
        <f t="shared" si="5"/>
        <v/>
      </c>
      <c r="AH10" s="6" t="str">
        <f>IF('Recovery Log'!O10&gt;'Deployment Log'!M10,'Recovery Log'!O10-'Deployment Log'!M10,"n/a")</f>
        <v>n/a</v>
      </c>
      <c r="AI10" s="6" t="str">
        <f t="shared" si="6"/>
        <v>n/a</v>
      </c>
      <c r="AJ10" s="4" t="str">
        <f>IF(ISNUMBER(AH10),'Recovery Log'!AC10/AH10,"n/a")</f>
        <v>n/a</v>
      </c>
      <c r="AK10" s="48" t="str">
        <f t="shared" si="7"/>
        <v>n/a</v>
      </c>
      <c r="AL10" s="49" t="str">
        <f t="shared" si="8"/>
        <v>n/a</v>
      </c>
      <c r="AM10" s="4" t="str">
        <f>IF(ISBLANK('Deployment Log'!AF10),"n/a",DEGREES(ATAN2('Deployment Log'!AF10,SQRT('Deployment Log'!AG10^2 + 'Deployment Log'!AH10^2))))</f>
        <v>n/a</v>
      </c>
      <c r="AN10" s="4" t="str">
        <f>IF(ISBLANK('Recovery Log'!P10),"n/a",DEGREES(ATAN2('Recovery Log'!P10,SQRT('Recovery Log'!Q10^2 + 'Recovery Log'!R10^2))))</f>
        <v>n/a</v>
      </c>
      <c r="AO10" s="18" t="str">
        <f>IF(AND(ISNUMBER(D10),ISNUMBER(E10)),(E10-D10)*24*60,"n/a")</f>
        <v>n/a</v>
      </c>
      <c r="AP10" s="18" t="str">
        <f>IF(AND(ISNUMBER(G10),ISNUMBER(H10)),(H10-G10)*24*60,"n/a")</f>
        <v>n/a</v>
      </c>
      <c r="AQ10" s="18" t="str">
        <f>IF(AND(ISNUMBER(G10),ISNUMBER('Recovery Log'!K10)),(G10-'Recovery Log'!K10)*24*60,"n/a")</f>
        <v>n/a</v>
      </c>
      <c r="AR10" s="18" t="str">
        <f>IF(AND(ISNUMBER(H10),ISNUMBER(I10)),(I10-H10)*24*60,"n/a")</f>
        <v>n/a</v>
      </c>
      <c r="AS10" s="18" t="str">
        <f>IF(AND(ISNUMBER('Recovery Log'!I10),ISNUMBER('Recovery Log'!N10)),('Recovery Log'!N10-'Recovery Log'!I10)*24*60,"n/a")</f>
        <v>n/a</v>
      </c>
      <c r="AT10" s="18" t="str">
        <f>IF(ISNUMBER(AO10),O10/AO10,"n/a")</f>
        <v>n/a</v>
      </c>
      <c r="AU10" s="18" t="str">
        <f>IF(ISNUMBER(AP10),O10/AP10,"n/a")</f>
        <v>n/a</v>
      </c>
    </row>
    <row r="11" spans="1:47" x14ac:dyDescent="0.25">
      <c r="A11" s="4">
        <f>'Deployment Log'!A11</f>
        <v>0</v>
      </c>
      <c r="B11" s="4">
        <f>'Deployment Log'!S11</f>
        <v>0</v>
      </c>
      <c r="C11" s="4">
        <f>'Deployment Log'!T11</f>
        <v>0</v>
      </c>
      <c r="D11" s="5" t="str">
        <f>IF('Deployment Log'!N11&gt;DATE(2021,8,1),'Deployment Log'!N11,"n/a")</f>
        <v>n/a</v>
      </c>
      <c r="E11" s="5" t="str">
        <f>IF('Deployment Log'!O11&gt;DATE(2021,8,1),'Deployment Log'!O11,"n/a")</f>
        <v>n/a</v>
      </c>
      <c r="F11" s="5" t="str">
        <f>IF('Deployment Log'!P11&gt;DATE(2021,8,1),'Deployment Log'!P11,"n/a")</f>
        <v>n/a</v>
      </c>
      <c r="G11" s="5" t="str">
        <f>IF('Recovery Log'!L11&gt;DATE(2021,8,1),'Recovery Log'!L11,"n/a")</f>
        <v>n/a</v>
      </c>
      <c r="H11" s="5" t="str">
        <f>IF('Recovery Log'!M11&gt;DATE(2021,8,1),'Recovery Log'!M11,"n/a")</f>
        <v>n/a</v>
      </c>
      <c r="I11" s="5" t="str">
        <f>IF(MIN('Recovery Log'!N11:O11)&gt;DATE(2021,8,1),MIN('Recovery Log'!N11:O11),"n/a")</f>
        <v>n/a</v>
      </c>
      <c r="J11" s="4">
        <f>'Deployment Log'!B11</f>
        <v>0</v>
      </c>
      <c r="K11" s="4">
        <f>'Deployment Log'!C11</f>
        <v>0</v>
      </c>
      <c r="L11" s="4">
        <f>'Deployment Log'!D11</f>
        <v>0</v>
      </c>
      <c r="M11" s="4">
        <f>'Deployment Log'!I11</f>
        <v>0</v>
      </c>
      <c r="N11" s="4">
        <f>'Deployment Log'!J11</f>
        <v>0</v>
      </c>
      <c r="O11" s="4">
        <f>'Deployment Log'!K11</f>
        <v>0</v>
      </c>
      <c r="P11" s="6" t="str">
        <f>'Deployment Log'!L11</f>
        <v/>
      </c>
      <c r="U11" s="7" t="str">
        <f t="shared" si="1"/>
        <v/>
      </c>
      <c r="V11" s="29" t="e">
        <f t="shared" si="2"/>
        <v>#VALUE!</v>
      </c>
      <c r="W11" s="8" t="str">
        <f t="shared" si="3"/>
        <v/>
      </c>
      <c r="X11" s="4" t="str">
        <f>IF('Recovery Log'!V11="","",'Recovery Log'!V11)</f>
        <v/>
      </c>
      <c r="Y11" s="4" t="str">
        <f>IF('Recovery Log'!W11="","",'Recovery Log'!W11)</f>
        <v/>
      </c>
      <c r="Z11" s="6" t="str">
        <f>'Recovery Log'!X11</f>
        <v/>
      </c>
      <c r="AA11" s="8" t="str">
        <f t="shared" si="0"/>
        <v/>
      </c>
      <c r="AB11" s="4" t="str">
        <f>IF('Recovery Log'!Y11="","",'Recovery Log'!Y11)</f>
        <v/>
      </c>
      <c r="AC11" s="4" t="str">
        <f>IF('Recovery Log'!Z11="","",'Recovery Log'!Z11)</f>
        <v/>
      </c>
      <c r="AD11" s="6" t="str">
        <f>'Recovery Log'!AA11</f>
        <v/>
      </c>
      <c r="AF11" s="7" t="str">
        <f t="shared" si="4"/>
        <v/>
      </c>
      <c r="AG11" s="8" t="str">
        <f t="shared" si="5"/>
        <v/>
      </c>
      <c r="AH11" s="6" t="str">
        <f>IF('Recovery Log'!O11&gt;'Deployment Log'!M11,'Recovery Log'!O11-'Deployment Log'!M11,"n/a")</f>
        <v>n/a</v>
      </c>
      <c r="AI11" s="6" t="str">
        <f t="shared" si="6"/>
        <v>n/a</v>
      </c>
      <c r="AJ11" s="4" t="str">
        <f>IF(ISNUMBER(AH11),'Recovery Log'!AC11/AH11,"n/a")</f>
        <v>n/a</v>
      </c>
      <c r="AK11" s="48" t="str">
        <f t="shared" si="7"/>
        <v>n/a</v>
      </c>
      <c r="AL11" s="49" t="str">
        <f t="shared" si="8"/>
        <v>n/a</v>
      </c>
      <c r="AM11" s="4" t="str">
        <f>IF(ISBLANK('Deployment Log'!AF11),"n/a",DEGREES(ATAN2('Deployment Log'!AF11,SQRT('Deployment Log'!AG11^2 + 'Deployment Log'!AH11^2))))</f>
        <v>n/a</v>
      </c>
      <c r="AN11" s="4" t="str">
        <f>IF(ISBLANK('Recovery Log'!P11),"n/a",DEGREES(ATAN2('Recovery Log'!P11,SQRT('Recovery Log'!Q11^2 + 'Recovery Log'!R11^2))))</f>
        <v>n/a</v>
      </c>
      <c r="AO11" s="18" t="str">
        <f>IF(AND(ISNUMBER(D11),ISNUMBER(E11)),(E11-D11)*24*60,"n/a")</f>
        <v>n/a</v>
      </c>
      <c r="AP11" s="18" t="str">
        <f>IF(AND(ISNUMBER(G11),ISNUMBER(H11)),(H11-G11)*24*60,"n/a")</f>
        <v>n/a</v>
      </c>
      <c r="AQ11" s="18" t="str">
        <f>IF(AND(ISNUMBER(G11),ISNUMBER('Recovery Log'!K11)),(G11-'Recovery Log'!K11)*24*60,"n/a")</f>
        <v>n/a</v>
      </c>
      <c r="AR11" s="18" t="str">
        <f>IF(AND(ISNUMBER(H11),ISNUMBER(I11)),(I11-H11)*24*60,"n/a")</f>
        <v>n/a</v>
      </c>
      <c r="AS11" s="18" t="str">
        <f>IF(AND(ISNUMBER('Recovery Log'!I11),ISNUMBER('Recovery Log'!N11)),('Recovery Log'!N11-'Recovery Log'!I11)*24*60,"n/a")</f>
        <v>n/a</v>
      </c>
      <c r="AT11" s="18" t="str">
        <f>IF(ISNUMBER(AO11),O11/AO11,"n/a")</f>
        <v>n/a</v>
      </c>
      <c r="AU11" s="18" t="str">
        <f>IF(ISNUMBER(AP11),O11/AP11,"n/a")</f>
        <v>n/a</v>
      </c>
    </row>
    <row r="12" spans="1:47" x14ac:dyDescent="0.25">
      <c r="A12" s="4">
        <f>'Deployment Log'!A12</f>
        <v>0</v>
      </c>
      <c r="B12" s="4">
        <f>'Deployment Log'!S12</f>
        <v>0</v>
      </c>
      <c r="C12" s="4">
        <f>'Deployment Log'!T12</f>
        <v>0</v>
      </c>
      <c r="D12" s="5" t="str">
        <f>IF('Deployment Log'!N12&gt;DATE(2021,8,1),'Deployment Log'!N12,"n/a")</f>
        <v>n/a</v>
      </c>
      <c r="E12" s="5" t="str">
        <f>IF('Deployment Log'!O12&gt;DATE(2021,8,1),'Deployment Log'!O12,"n/a")</f>
        <v>n/a</v>
      </c>
      <c r="F12" s="5" t="str">
        <f>IF('Deployment Log'!P12&gt;DATE(2021,8,1),'Deployment Log'!P12,"n/a")</f>
        <v>n/a</v>
      </c>
      <c r="G12" s="5" t="str">
        <f>IF('Recovery Log'!L12&gt;DATE(2021,8,1),'Recovery Log'!L12,"n/a")</f>
        <v>n/a</v>
      </c>
      <c r="H12" s="5" t="str">
        <f>IF('Recovery Log'!M12&gt;DATE(2021,8,1),'Recovery Log'!M12,"n/a")</f>
        <v>n/a</v>
      </c>
      <c r="I12" s="5" t="str">
        <f>IF(MIN('Recovery Log'!N12:O12)&gt;DATE(2021,8,1),MIN('Recovery Log'!N12:O12),"n/a")</f>
        <v>n/a</v>
      </c>
      <c r="J12" s="4">
        <f>'Deployment Log'!B12</f>
        <v>0</v>
      </c>
      <c r="K12" s="4">
        <f>'Deployment Log'!C12</f>
        <v>0</v>
      </c>
      <c r="L12" s="4">
        <f>'Deployment Log'!D12</f>
        <v>0</v>
      </c>
      <c r="M12" s="4">
        <f>'Deployment Log'!I12</f>
        <v>0</v>
      </c>
      <c r="N12" s="4">
        <f>'Deployment Log'!J12</f>
        <v>0</v>
      </c>
      <c r="O12" s="4">
        <f>'Deployment Log'!K12</f>
        <v>0</v>
      </c>
      <c r="P12" s="6" t="str">
        <f>'Deployment Log'!L12</f>
        <v/>
      </c>
      <c r="U12" s="7" t="str">
        <f t="shared" si="1"/>
        <v/>
      </c>
      <c r="V12" s="29" t="e">
        <f t="shared" si="2"/>
        <v>#VALUE!</v>
      </c>
      <c r="W12" s="8" t="str">
        <f t="shared" si="3"/>
        <v/>
      </c>
      <c r="X12" s="4" t="str">
        <f>IF('Recovery Log'!V12="","",'Recovery Log'!V12)</f>
        <v/>
      </c>
      <c r="Y12" s="4" t="str">
        <f>IF('Recovery Log'!W12="","",'Recovery Log'!W12)</f>
        <v/>
      </c>
      <c r="Z12" s="6" t="str">
        <f>'Recovery Log'!X12</f>
        <v/>
      </c>
      <c r="AA12" s="8" t="str">
        <f t="shared" si="0"/>
        <v/>
      </c>
      <c r="AB12" s="4" t="str">
        <f>IF('Recovery Log'!Y12="","",'Recovery Log'!Y12)</f>
        <v/>
      </c>
      <c r="AC12" s="4" t="str">
        <f>IF('Recovery Log'!Z12="","",'Recovery Log'!Z12)</f>
        <v/>
      </c>
      <c r="AD12" s="6" t="str">
        <f>'Recovery Log'!AA12</f>
        <v/>
      </c>
      <c r="AF12" s="7" t="str">
        <f t="shared" si="4"/>
        <v/>
      </c>
      <c r="AG12" s="8" t="str">
        <f t="shared" si="5"/>
        <v/>
      </c>
      <c r="AH12" s="6" t="str">
        <f>IF('Recovery Log'!O12&gt;'Deployment Log'!M12,'Recovery Log'!O12-'Deployment Log'!M12,"n/a")</f>
        <v>n/a</v>
      </c>
      <c r="AI12" s="6" t="str">
        <f t="shared" si="6"/>
        <v>n/a</v>
      </c>
      <c r="AJ12" s="4" t="str">
        <f>IF(ISNUMBER(AH12),'Recovery Log'!AC12/AH12,"n/a")</f>
        <v>n/a</v>
      </c>
      <c r="AK12" s="48" t="str">
        <f t="shared" si="7"/>
        <v>n/a</v>
      </c>
      <c r="AL12" s="49" t="str">
        <f t="shared" si="8"/>
        <v>n/a</v>
      </c>
      <c r="AM12" s="4" t="str">
        <f>IF(ISBLANK('Deployment Log'!AF12),"n/a",DEGREES(ATAN2('Deployment Log'!AF12,SQRT('Deployment Log'!AG12^2 + 'Deployment Log'!AH12^2))))</f>
        <v>n/a</v>
      </c>
      <c r="AN12" s="4" t="str">
        <f>IF(ISBLANK('Recovery Log'!P12),"n/a",DEGREES(ATAN2('Recovery Log'!P12,SQRT('Recovery Log'!Q12^2 + 'Recovery Log'!R12^2))))</f>
        <v>n/a</v>
      </c>
      <c r="AO12" s="18" t="str">
        <f>IF(AND(ISNUMBER(D12),ISNUMBER(E12)),(E12-D12)*24*60,"n/a")</f>
        <v>n/a</v>
      </c>
      <c r="AP12" s="18" t="str">
        <f>IF(AND(ISNUMBER(G12),ISNUMBER(H12)),(H12-G12)*24*60,"n/a")</f>
        <v>n/a</v>
      </c>
      <c r="AQ12" s="18" t="str">
        <f>IF(AND(ISNUMBER(G12),ISNUMBER('Recovery Log'!K12)),(G12-'Recovery Log'!K12)*24*60,"n/a")</f>
        <v>n/a</v>
      </c>
      <c r="AR12" s="18" t="str">
        <f>IF(AND(ISNUMBER(H12),ISNUMBER(I12)),(I12-H12)*24*60,"n/a")</f>
        <v>n/a</v>
      </c>
      <c r="AS12" s="18" t="str">
        <f>IF(AND(ISNUMBER('Recovery Log'!I12),ISNUMBER('Recovery Log'!N12)),('Recovery Log'!N12-'Recovery Log'!I12)*24*60,"n/a")</f>
        <v>n/a</v>
      </c>
      <c r="AT12" s="18" t="str">
        <f>IF(ISNUMBER(AO12),O12/AO12,"n/a")</f>
        <v>n/a</v>
      </c>
      <c r="AU12" s="18" t="str">
        <f>IF(ISNUMBER(AP12),O12/AP12,"n/a")</f>
        <v>n/a</v>
      </c>
    </row>
    <row r="13" spans="1:47" x14ac:dyDescent="0.25">
      <c r="A13" s="4">
        <f>'Deployment Log'!A13</f>
        <v>0</v>
      </c>
      <c r="B13" s="4">
        <f>'Deployment Log'!S13</f>
        <v>0</v>
      </c>
      <c r="C13" s="4">
        <f>'Deployment Log'!T13</f>
        <v>0</v>
      </c>
      <c r="D13" s="5" t="str">
        <f>IF('Deployment Log'!N13&gt;DATE(2021,8,1),'Deployment Log'!N13,"n/a")</f>
        <v>n/a</v>
      </c>
      <c r="E13" s="5" t="str">
        <f>IF('Deployment Log'!O13&gt;DATE(2021,8,1),'Deployment Log'!O13,"n/a")</f>
        <v>n/a</v>
      </c>
      <c r="F13" s="5" t="str">
        <f>IF('Deployment Log'!P13&gt;DATE(2021,8,1),'Deployment Log'!P13,"n/a")</f>
        <v>n/a</v>
      </c>
      <c r="G13" s="5" t="str">
        <f>IF('Recovery Log'!L13&gt;DATE(2021,8,1),'Recovery Log'!L13,"n/a")</f>
        <v>n/a</v>
      </c>
      <c r="H13" s="5" t="str">
        <f>IF('Recovery Log'!M13&gt;DATE(2021,8,1),'Recovery Log'!M13,"n/a")</f>
        <v>n/a</v>
      </c>
      <c r="I13" s="5" t="str">
        <f>IF(MIN('Recovery Log'!N13:O13)&gt;DATE(2021,8,1),MIN('Recovery Log'!N13:O13),"n/a")</f>
        <v>n/a</v>
      </c>
      <c r="J13" s="4">
        <f>'Deployment Log'!B13</f>
        <v>0</v>
      </c>
      <c r="K13" s="4">
        <f>'Deployment Log'!C13</f>
        <v>0</v>
      </c>
      <c r="L13" s="4">
        <f>'Deployment Log'!D13</f>
        <v>0</v>
      </c>
      <c r="M13" s="4">
        <f>'Deployment Log'!I13</f>
        <v>0</v>
      </c>
      <c r="N13" s="4">
        <f>'Deployment Log'!J13</f>
        <v>0</v>
      </c>
      <c r="O13" s="4">
        <f>'Deployment Log'!K13</f>
        <v>0</v>
      </c>
      <c r="P13" s="6" t="str">
        <f>'Deployment Log'!L13</f>
        <v/>
      </c>
      <c r="U13" s="7" t="str">
        <f t="shared" ref="U13:U23" si="9">IF(ISBLANK(Q13),"",2*6370*ASIN(SQRT(SIN(RADIANS(Q13-M13)/2)*SIN(RADIANS(Q13-M13)/2) + COS(RADIANS(Q13))*COS(RADIANS(M13))*SIN(RADIANS(R13-N13)/2)*SIN(RADIANS(R13-N13)/2)))*1000)</f>
        <v/>
      </c>
      <c r="V13" s="29" t="e">
        <f t="shared" si="2"/>
        <v>#VALUE!</v>
      </c>
      <c r="W13" s="8" t="str">
        <f t="shared" ref="W13:W23" si="10">IF(ISBLANK(Q13),"",MOD(DEGREES(ATAN2(COS(RADIANS(M13))*SIN(RADIANS(Q13)) - SIN(RADIANS(M13))*COS(RADIANS(Q13))*COS(RADIANS(R13-N13)),COS(RADIANS(Q13))*SIN(RADIANS(R13-N13)))) + 360, 360))</f>
        <v/>
      </c>
      <c r="X13" s="4" t="str">
        <f>IF('Recovery Log'!V13="","",'Recovery Log'!V13)</f>
        <v/>
      </c>
      <c r="Y13" s="4" t="str">
        <f>IF('Recovery Log'!W13="","",'Recovery Log'!W13)</f>
        <v/>
      </c>
      <c r="Z13" s="6" t="str">
        <f>'Recovery Log'!X13</f>
        <v/>
      </c>
      <c r="AA13" s="8" t="str">
        <f t="shared" ref="AA13:AA23" si="11">IF(ISBLANK(Q13),"",MOD(DEGREES(ATAN2(COS(RADIANS(Q13))*SIN(RADIANS(X13)) - SIN(RADIANS(Q13))*COS(RADIANS(X13))*COS(RADIANS(Y13-R13)),COS(RADIANS(X13))*SIN(RADIANS(Y13-R13)))) + 360, 360))</f>
        <v/>
      </c>
      <c r="AB13" s="4" t="str">
        <f>IF('Recovery Log'!Y13="","",'Recovery Log'!Y13)</f>
        <v/>
      </c>
      <c r="AC13" s="4" t="str">
        <f>IF('Recovery Log'!Z13="","",'Recovery Log'!Z13)</f>
        <v/>
      </c>
      <c r="AD13" s="6" t="str">
        <f>'Recovery Log'!AA13</f>
        <v/>
      </c>
      <c r="AF13" s="7" t="str">
        <f t="shared" si="4"/>
        <v/>
      </c>
      <c r="AG13" s="8" t="str">
        <f t="shared" si="5"/>
        <v/>
      </c>
      <c r="AH13" s="6" t="str">
        <f>IF('Recovery Log'!O13&gt;'Deployment Log'!M13,'Recovery Log'!O13-'Deployment Log'!M13,"n/a")</f>
        <v>n/a</v>
      </c>
      <c r="AI13" s="6" t="str">
        <f t="shared" si="6"/>
        <v>n/a</v>
      </c>
      <c r="AJ13" s="4" t="str">
        <f>IF(ISNUMBER(AH13),'Recovery Log'!AC13/AH13,"n/a")</f>
        <v>n/a</v>
      </c>
      <c r="AK13" s="48" t="str">
        <f t="shared" si="7"/>
        <v>n/a</v>
      </c>
      <c r="AL13" s="49" t="str">
        <f t="shared" si="8"/>
        <v>n/a</v>
      </c>
      <c r="AM13" s="4" t="str">
        <f>IF(ISBLANK('Deployment Log'!AF13),"n/a",DEGREES(ATAN2('Deployment Log'!AF13,SQRT('Deployment Log'!AG13^2 + 'Deployment Log'!AH13^2))))</f>
        <v>n/a</v>
      </c>
      <c r="AN13" s="4" t="str">
        <f>IF(ISBLANK('Recovery Log'!P13),"n/a",DEGREES(ATAN2('Recovery Log'!P13,SQRT('Recovery Log'!Q13^2 + 'Recovery Log'!R13^2))))</f>
        <v>n/a</v>
      </c>
      <c r="AO13" s="18" t="str">
        <f>IF(AND(ISNUMBER(D13),ISNUMBER(E13)),(E13-D13)*24*60,"n/a")</f>
        <v>n/a</v>
      </c>
      <c r="AP13" s="18" t="str">
        <f>IF(AND(ISNUMBER(G13),ISNUMBER(H13)),(H13-G13)*24*60,"n/a")</f>
        <v>n/a</v>
      </c>
      <c r="AQ13" s="18" t="str">
        <f>IF(AND(ISNUMBER(G13),ISNUMBER('Recovery Log'!K13)),(G13-'Recovery Log'!K13)*24*60,"n/a")</f>
        <v>n/a</v>
      </c>
      <c r="AR13" s="18" t="str">
        <f>IF(AND(ISNUMBER(H13),ISNUMBER(I13)),(I13-H13)*24*60,"n/a")</f>
        <v>n/a</v>
      </c>
      <c r="AS13" s="18" t="str">
        <f>IF(AND(ISNUMBER('Recovery Log'!I13),ISNUMBER('Recovery Log'!N13)),('Recovery Log'!N13-'Recovery Log'!I13)*24*60,"n/a")</f>
        <v>n/a</v>
      </c>
      <c r="AT13" s="18" t="str">
        <f>IF(ISNUMBER(AO13),O13/AO13,"n/a")</f>
        <v>n/a</v>
      </c>
      <c r="AU13" s="18" t="str">
        <f>IF(ISNUMBER(AP13),O13/AP13,"n/a")</f>
        <v>n/a</v>
      </c>
    </row>
    <row r="14" spans="1:47" x14ac:dyDescent="0.25">
      <c r="A14" s="4">
        <f>'Deployment Log'!A14</f>
        <v>0</v>
      </c>
      <c r="B14" s="4">
        <f>'Deployment Log'!S14</f>
        <v>0</v>
      </c>
      <c r="C14" s="4">
        <f>'Deployment Log'!T14</f>
        <v>0</v>
      </c>
      <c r="D14" s="5" t="str">
        <f>IF('Deployment Log'!N14&gt;DATE(2021,8,1),'Deployment Log'!N14,"n/a")</f>
        <v>n/a</v>
      </c>
      <c r="E14" s="5" t="str">
        <f>IF('Deployment Log'!O14&gt;DATE(2021,8,1),'Deployment Log'!O14,"n/a")</f>
        <v>n/a</v>
      </c>
      <c r="F14" s="5" t="str">
        <f>IF('Deployment Log'!P14&gt;DATE(2021,8,1),'Deployment Log'!P14,"n/a")</f>
        <v>n/a</v>
      </c>
      <c r="G14" s="5" t="str">
        <f>IF('Recovery Log'!L14&gt;DATE(2021,8,1),'Recovery Log'!L14,"n/a")</f>
        <v>n/a</v>
      </c>
      <c r="H14" s="5" t="str">
        <f>IF('Recovery Log'!M14&gt;DATE(2021,8,1),'Recovery Log'!M14,"n/a")</f>
        <v>n/a</v>
      </c>
      <c r="I14" s="5" t="str">
        <f>IF(MIN('Recovery Log'!N14:O14)&gt;DATE(2021,8,1),MIN('Recovery Log'!N14:O14),"n/a")</f>
        <v>n/a</v>
      </c>
      <c r="J14" s="4">
        <f>'Deployment Log'!B14</f>
        <v>0</v>
      </c>
      <c r="K14" s="4">
        <f>'Deployment Log'!C14</f>
        <v>0</v>
      </c>
      <c r="L14" s="4">
        <f>'Deployment Log'!D14</f>
        <v>0</v>
      </c>
      <c r="M14" s="4">
        <f>'Deployment Log'!I14</f>
        <v>0</v>
      </c>
      <c r="N14" s="4">
        <f>'Deployment Log'!J14</f>
        <v>0</v>
      </c>
      <c r="O14" s="4">
        <f>'Deployment Log'!K14</f>
        <v>0</v>
      </c>
      <c r="P14" s="6" t="str">
        <f>'Deployment Log'!L14</f>
        <v/>
      </c>
      <c r="U14" s="7" t="str">
        <f t="shared" si="9"/>
        <v/>
      </c>
      <c r="V14" s="29" t="e">
        <f t="shared" si="2"/>
        <v>#VALUE!</v>
      </c>
      <c r="W14" s="8" t="str">
        <f t="shared" si="10"/>
        <v/>
      </c>
      <c r="X14" s="4" t="str">
        <f>IF('Recovery Log'!V14="","",'Recovery Log'!V14)</f>
        <v/>
      </c>
      <c r="Y14" s="4" t="str">
        <f>IF('Recovery Log'!W14="","",'Recovery Log'!W14)</f>
        <v/>
      </c>
      <c r="Z14" s="6" t="str">
        <f>'Recovery Log'!X14</f>
        <v/>
      </c>
      <c r="AA14" s="8" t="str">
        <f t="shared" si="11"/>
        <v/>
      </c>
      <c r="AB14" s="4" t="str">
        <f>IF('Recovery Log'!Y14="","",'Recovery Log'!Y14)</f>
        <v/>
      </c>
      <c r="AC14" s="4" t="str">
        <f>IF('Recovery Log'!Z14="","",'Recovery Log'!Z14)</f>
        <v/>
      </c>
      <c r="AD14" s="6" t="str">
        <f>'Recovery Log'!AA14</f>
        <v/>
      </c>
      <c r="AF14" s="7" t="str">
        <f t="shared" si="4"/>
        <v/>
      </c>
      <c r="AG14" s="8" t="str">
        <f t="shared" si="5"/>
        <v/>
      </c>
      <c r="AH14" s="6" t="str">
        <f>IF('Recovery Log'!O14&gt;'Deployment Log'!M14,'Recovery Log'!O14-'Deployment Log'!M14,"n/a")</f>
        <v>n/a</v>
      </c>
      <c r="AI14" s="6" t="str">
        <f t="shared" si="6"/>
        <v>n/a</v>
      </c>
      <c r="AJ14" s="4" t="str">
        <f>IF(ISNUMBER(AH14),'Recovery Log'!AC14/AH14,"n/a")</f>
        <v>n/a</v>
      </c>
      <c r="AK14" s="48" t="str">
        <f t="shared" si="7"/>
        <v>n/a</v>
      </c>
      <c r="AL14" s="49" t="str">
        <f t="shared" si="8"/>
        <v>n/a</v>
      </c>
      <c r="AM14" s="4" t="str">
        <f>IF(ISBLANK('Deployment Log'!AF14),"n/a",DEGREES(ATAN2('Deployment Log'!AF14,SQRT('Deployment Log'!AG14^2 + 'Deployment Log'!AH14^2))))</f>
        <v>n/a</v>
      </c>
      <c r="AN14" s="4" t="str">
        <f>IF(ISBLANK('Recovery Log'!P14),"n/a",DEGREES(ATAN2('Recovery Log'!P14,SQRT('Recovery Log'!Q14^2 + 'Recovery Log'!R14^2))))</f>
        <v>n/a</v>
      </c>
      <c r="AO14" s="18" t="str">
        <f>IF(AND(ISNUMBER(D14),ISNUMBER(E14)),(E14-D14)*24*60,"n/a")</f>
        <v>n/a</v>
      </c>
      <c r="AP14" s="18" t="str">
        <f>IF(AND(ISNUMBER(G14),ISNUMBER(H14)),(H14-G14)*24*60,"n/a")</f>
        <v>n/a</v>
      </c>
      <c r="AQ14" s="18" t="str">
        <f>IF(AND(ISNUMBER(G14),ISNUMBER('Recovery Log'!K14)),(G14-'Recovery Log'!K14)*24*60,"n/a")</f>
        <v>n/a</v>
      </c>
      <c r="AR14" s="18" t="str">
        <f>IF(AND(ISNUMBER(H14),ISNUMBER(I14)),(I14-H14)*24*60,"n/a")</f>
        <v>n/a</v>
      </c>
      <c r="AS14" s="18" t="str">
        <f>IF(AND(ISNUMBER('Recovery Log'!I14),ISNUMBER('Recovery Log'!N14)),('Recovery Log'!N14-'Recovery Log'!I14)*24*60,"n/a")</f>
        <v>n/a</v>
      </c>
      <c r="AT14" s="18" t="str">
        <f>IF(ISNUMBER(AO14),O14/AO14,"n/a")</f>
        <v>n/a</v>
      </c>
      <c r="AU14" s="18" t="str">
        <f>IF(ISNUMBER(AP14),O14/AP14,"n/a")</f>
        <v>n/a</v>
      </c>
    </row>
    <row r="15" spans="1:47" x14ac:dyDescent="0.25">
      <c r="A15" s="4">
        <f>'Deployment Log'!A15</f>
        <v>0</v>
      </c>
      <c r="B15" s="4">
        <f>'Deployment Log'!S15</f>
        <v>0</v>
      </c>
      <c r="C15" s="4">
        <f>'Deployment Log'!T15</f>
        <v>0</v>
      </c>
      <c r="D15" s="5" t="str">
        <f>IF('Deployment Log'!N15&gt;DATE(2021,8,1),'Deployment Log'!N15,"n/a")</f>
        <v>n/a</v>
      </c>
      <c r="E15" s="5" t="str">
        <f>IF('Deployment Log'!O15&gt;DATE(2021,8,1),'Deployment Log'!O15,"n/a")</f>
        <v>n/a</v>
      </c>
      <c r="F15" s="5" t="str">
        <f>IF('Deployment Log'!P15&gt;DATE(2021,8,1),'Deployment Log'!P15,"n/a")</f>
        <v>n/a</v>
      </c>
      <c r="G15" s="5" t="str">
        <f>IF('Recovery Log'!L15&gt;DATE(2021,8,1),'Recovery Log'!L15,"n/a")</f>
        <v>n/a</v>
      </c>
      <c r="H15" s="5" t="str">
        <f>IF('Recovery Log'!M15&gt;DATE(2021,8,1),'Recovery Log'!M15,"n/a")</f>
        <v>n/a</v>
      </c>
      <c r="I15" s="5" t="str">
        <f>IF(MIN('Recovery Log'!N15:O15)&gt;DATE(2021,8,1),MIN('Recovery Log'!N15:O15),"n/a")</f>
        <v>n/a</v>
      </c>
      <c r="J15" s="4">
        <f>'Deployment Log'!B15</f>
        <v>0</v>
      </c>
      <c r="K15" s="4">
        <f>'Deployment Log'!C15</f>
        <v>0</v>
      </c>
      <c r="L15" s="4">
        <f>'Deployment Log'!D15</f>
        <v>0</v>
      </c>
      <c r="M15" s="4">
        <f>'Deployment Log'!I15</f>
        <v>0</v>
      </c>
      <c r="N15" s="4">
        <f>'Deployment Log'!J15</f>
        <v>0</v>
      </c>
      <c r="O15" s="4">
        <f>'Deployment Log'!K15</f>
        <v>0</v>
      </c>
      <c r="P15" s="6" t="str">
        <f>'Deployment Log'!L15</f>
        <v/>
      </c>
      <c r="U15" s="7" t="str">
        <f t="shared" si="9"/>
        <v/>
      </c>
      <c r="V15" s="29" t="e">
        <f t="shared" si="2"/>
        <v>#VALUE!</v>
      </c>
      <c r="W15" s="8" t="str">
        <f t="shared" si="10"/>
        <v/>
      </c>
      <c r="X15" s="4" t="str">
        <f>IF('Recovery Log'!V15="","",'Recovery Log'!V15)</f>
        <v/>
      </c>
      <c r="Y15" s="4" t="str">
        <f>IF('Recovery Log'!W15="","",'Recovery Log'!W15)</f>
        <v/>
      </c>
      <c r="Z15" s="6" t="str">
        <f>'Recovery Log'!X15</f>
        <v/>
      </c>
      <c r="AA15" s="8" t="str">
        <f t="shared" si="11"/>
        <v/>
      </c>
      <c r="AB15" s="4" t="str">
        <f>IF('Recovery Log'!Y15="","",'Recovery Log'!Y15)</f>
        <v/>
      </c>
      <c r="AC15" s="4" t="str">
        <f>IF('Recovery Log'!Z15="","",'Recovery Log'!Z15)</f>
        <v/>
      </c>
      <c r="AD15" s="6" t="str">
        <f>'Recovery Log'!AA15</f>
        <v/>
      </c>
      <c r="AF15" s="7" t="str">
        <f t="shared" si="4"/>
        <v/>
      </c>
      <c r="AG15" s="8" t="str">
        <f t="shared" si="5"/>
        <v/>
      </c>
      <c r="AH15" s="6" t="str">
        <f>IF('Recovery Log'!O15&gt;'Deployment Log'!M15,'Recovery Log'!O15-'Deployment Log'!M15,"n/a")</f>
        <v>n/a</v>
      </c>
      <c r="AI15" s="6" t="str">
        <f t="shared" si="6"/>
        <v>n/a</v>
      </c>
      <c r="AJ15" s="4" t="str">
        <f>IF(ISNUMBER(AH15),'Recovery Log'!AC15/AH15,"n/a")</f>
        <v>n/a</v>
      </c>
      <c r="AK15" s="48" t="str">
        <f t="shared" si="7"/>
        <v>n/a</v>
      </c>
      <c r="AL15" s="49" t="str">
        <f t="shared" si="8"/>
        <v>n/a</v>
      </c>
      <c r="AM15" s="4" t="str">
        <f>IF(ISBLANK('Deployment Log'!AF15),"n/a",DEGREES(ATAN2('Deployment Log'!AF15,SQRT('Deployment Log'!AG15^2 + 'Deployment Log'!AH15^2))))</f>
        <v>n/a</v>
      </c>
      <c r="AN15" s="4" t="str">
        <f>IF(ISBLANK('Recovery Log'!P15),"n/a",DEGREES(ATAN2('Recovery Log'!P15,SQRT('Recovery Log'!Q15^2 + 'Recovery Log'!R15^2))))</f>
        <v>n/a</v>
      </c>
      <c r="AO15" s="18" t="str">
        <f>IF(AND(ISNUMBER(D15),ISNUMBER(E15)),(E15-D15)*24*60,"n/a")</f>
        <v>n/a</v>
      </c>
      <c r="AP15" s="18" t="str">
        <f>IF(AND(ISNUMBER(G15),ISNUMBER(H15)),(H15-G15)*24*60,"n/a")</f>
        <v>n/a</v>
      </c>
      <c r="AQ15" s="18" t="str">
        <f>IF(AND(ISNUMBER(G15),ISNUMBER('Recovery Log'!K15)),(G15-'Recovery Log'!K15)*24*60,"n/a")</f>
        <v>n/a</v>
      </c>
      <c r="AR15" s="18" t="str">
        <f>IF(AND(ISNUMBER(H15),ISNUMBER(I15)),(I15-H15)*24*60,"n/a")</f>
        <v>n/a</v>
      </c>
      <c r="AS15" s="18" t="str">
        <f>IF(AND(ISNUMBER('Recovery Log'!I15),ISNUMBER('Recovery Log'!N15)),('Recovery Log'!N15-'Recovery Log'!I15)*24*60,"n/a")</f>
        <v>n/a</v>
      </c>
      <c r="AT15" s="18" t="str">
        <f>IF(ISNUMBER(AO15),O15/AO15,"n/a")</f>
        <v>n/a</v>
      </c>
      <c r="AU15" s="18" t="str">
        <f>IF(ISNUMBER(AP15),O15/AP15,"n/a")</f>
        <v>n/a</v>
      </c>
    </row>
    <row r="16" spans="1:47" x14ac:dyDescent="0.25">
      <c r="A16" s="4">
        <f>'Deployment Log'!A16</f>
        <v>0</v>
      </c>
      <c r="B16" s="4">
        <f>'Deployment Log'!S16</f>
        <v>0</v>
      </c>
      <c r="C16" s="4">
        <f>'Deployment Log'!T16</f>
        <v>0</v>
      </c>
      <c r="D16" s="5" t="str">
        <f>IF('Deployment Log'!N16&gt;DATE(2021,8,1),'Deployment Log'!N16,"n/a")</f>
        <v>n/a</v>
      </c>
      <c r="E16" s="5" t="str">
        <f>IF('Deployment Log'!O16&gt;DATE(2021,8,1),'Deployment Log'!O16,"n/a")</f>
        <v>n/a</v>
      </c>
      <c r="F16" s="5" t="str">
        <f>IF('Deployment Log'!P16&gt;DATE(2021,8,1),'Deployment Log'!P16,"n/a")</f>
        <v>n/a</v>
      </c>
      <c r="G16" s="5" t="str">
        <f>IF('Recovery Log'!L16&gt;DATE(2021,8,1),'Recovery Log'!L16,"n/a")</f>
        <v>n/a</v>
      </c>
      <c r="H16" s="5" t="str">
        <f>IF('Recovery Log'!M16&gt;DATE(2021,8,1),'Recovery Log'!M16,"n/a")</f>
        <v>n/a</v>
      </c>
      <c r="I16" s="5" t="str">
        <f>IF(MIN('Recovery Log'!N16:O16)&gt;DATE(2021,8,1),MIN('Recovery Log'!N16:O16),"n/a")</f>
        <v>n/a</v>
      </c>
      <c r="J16" s="4">
        <f>'Deployment Log'!B16</f>
        <v>0</v>
      </c>
      <c r="K16" s="4">
        <f>'Deployment Log'!C16</f>
        <v>0</v>
      </c>
      <c r="L16" s="4">
        <f>'Deployment Log'!D16</f>
        <v>0</v>
      </c>
      <c r="M16" s="4">
        <f>'Deployment Log'!I16</f>
        <v>0</v>
      </c>
      <c r="N16" s="4">
        <f>'Deployment Log'!J16</f>
        <v>0</v>
      </c>
      <c r="O16" s="4">
        <f>'Deployment Log'!K16</f>
        <v>0</v>
      </c>
      <c r="P16" s="6" t="str">
        <f>'Deployment Log'!L16</f>
        <v/>
      </c>
      <c r="U16" s="7" t="str">
        <f t="shared" si="9"/>
        <v/>
      </c>
      <c r="V16" s="29" t="e">
        <f t="shared" si="2"/>
        <v>#VALUE!</v>
      </c>
      <c r="W16" s="8" t="str">
        <f t="shared" si="10"/>
        <v/>
      </c>
      <c r="X16" s="4" t="str">
        <f>IF('Recovery Log'!V16="","",'Recovery Log'!V16)</f>
        <v/>
      </c>
      <c r="Y16" s="4" t="str">
        <f>IF('Recovery Log'!W16="","",'Recovery Log'!W16)</f>
        <v/>
      </c>
      <c r="Z16" s="6" t="str">
        <f>'Recovery Log'!X16</f>
        <v/>
      </c>
      <c r="AA16" s="8" t="str">
        <f t="shared" si="11"/>
        <v/>
      </c>
      <c r="AB16" s="4" t="str">
        <f>IF('Recovery Log'!Y16="","",'Recovery Log'!Y16)</f>
        <v/>
      </c>
      <c r="AC16" s="4" t="str">
        <f>IF('Recovery Log'!Z16="","",'Recovery Log'!Z16)</f>
        <v/>
      </c>
      <c r="AD16" s="6" t="str">
        <f>'Recovery Log'!AA16</f>
        <v/>
      </c>
      <c r="AF16" s="7" t="str">
        <f t="shared" si="4"/>
        <v/>
      </c>
      <c r="AG16" s="8" t="str">
        <f t="shared" si="5"/>
        <v/>
      </c>
      <c r="AH16" s="6" t="str">
        <f>IF('Recovery Log'!O16&gt;'Deployment Log'!M16,'Recovery Log'!O16-'Deployment Log'!M16,"n/a")</f>
        <v>n/a</v>
      </c>
      <c r="AI16" s="6" t="str">
        <f t="shared" si="6"/>
        <v>n/a</v>
      </c>
      <c r="AJ16" s="4" t="str">
        <f>IF(ISNUMBER(AH16),'Recovery Log'!AC16/AH16,"n/a")</f>
        <v>n/a</v>
      </c>
      <c r="AK16" s="48" t="str">
        <f t="shared" si="7"/>
        <v>n/a</v>
      </c>
      <c r="AL16" s="49" t="str">
        <f t="shared" si="8"/>
        <v>n/a</v>
      </c>
      <c r="AM16" s="4" t="str">
        <f>IF(ISBLANK('Deployment Log'!AF16),"n/a",DEGREES(ATAN2('Deployment Log'!AF16,SQRT('Deployment Log'!AG16^2 + 'Deployment Log'!AH16^2))))</f>
        <v>n/a</v>
      </c>
      <c r="AN16" s="4" t="str">
        <f>IF(ISBLANK('Recovery Log'!P16),"n/a",DEGREES(ATAN2('Recovery Log'!P16,SQRT('Recovery Log'!Q16^2 + 'Recovery Log'!R16^2))))</f>
        <v>n/a</v>
      </c>
      <c r="AO16" s="18" t="str">
        <f>IF(AND(ISNUMBER(D16),ISNUMBER(E16)),(E16-D16)*24*60,"n/a")</f>
        <v>n/a</v>
      </c>
      <c r="AP16" s="18" t="str">
        <f>IF(AND(ISNUMBER(G16),ISNUMBER(H16)),(H16-G16)*24*60,"n/a")</f>
        <v>n/a</v>
      </c>
      <c r="AQ16" s="18" t="str">
        <f>IF(AND(ISNUMBER(G16),ISNUMBER('Recovery Log'!K16)),(G16-'Recovery Log'!K16)*24*60,"n/a")</f>
        <v>n/a</v>
      </c>
      <c r="AR16" s="18" t="str">
        <f>IF(AND(ISNUMBER(H16),ISNUMBER(I16)),(I16-H16)*24*60,"n/a")</f>
        <v>n/a</v>
      </c>
      <c r="AS16" s="18" t="str">
        <f>IF(AND(ISNUMBER('Recovery Log'!I16),ISNUMBER('Recovery Log'!N16)),('Recovery Log'!N16-'Recovery Log'!I16)*24*60,"n/a")</f>
        <v>n/a</v>
      </c>
      <c r="AT16" s="18" t="str">
        <f>IF(ISNUMBER(AO16),O16/AO16,"n/a")</f>
        <v>n/a</v>
      </c>
      <c r="AU16" s="18" t="str">
        <f>IF(ISNUMBER(AP16),O16/AP16,"n/a")</f>
        <v>n/a</v>
      </c>
    </row>
    <row r="17" spans="1:47" x14ac:dyDescent="0.25">
      <c r="A17" s="4">
        <f>'Deployment Log'!A17</f>
        <v>0</v>
      </c>
      <c r="B17" s="4">
        <f>'Deployment Log'!S17</f>
        <v>0</v>
      </c>
      <c r="C17" s="4">
        <f>'Deployment Log'!T17</f>
        <v>0</v>
      </c>
      <c r="D17" s="5" t="str">
        <f>IF('Deployment Log'!N17&gt;DATE(2021,8,1),'Deployment Log'!N17,"n/a")</f>
        <v>n/a</v>
      </c>
      <c r="E17" s="5" t="str">
        <f>IF('Deployment Log'!O17&gt;DATE(2021,8,1),'Deployment Log'!O17,"n/a")</f>
        <v>n/a</v>
      </c>
      <c r="F17" s="5" t="str">
        <f>IF('Deployment Log'!P17&gt;DATE(2021,8,1),'Deployment Log'!P17,"n/a")</f>
        <v>n/a</v>
      </c>
      <c r="G17" s="5" t="str">
        <f>IF('Recovery Log'!L17&gt;DATE(2021,8,1),'Recovery Log'!L17,"n/a")</f>
        <v>n/a</v>
      </c>
      <c r="H17" s="5" t="str">
        <f>IF('Recovery Log'!M17&gt;DATE(2021,8,1),'Recovery Log'!M17,"n/a")</f>
        <v>n/a</v>
      </c>
      <c r="I17" s="5" t="str">
        <f>IF(MIN('Recovery Log'!N17:O17)&gt;DATE(2021,8,1),MIN('Recovery Log'!N17:O17),"n/a")</f>
        <v>n/a</v>
      </c>
      <c r="J17" s="4">
        <f>'Deployment Log'!B17</f>
        <v>0</v>
      </c>
      <c r="K17" s="4">
        <f>'Deployment Log'!C17</f>
        <v>0</v>
      </c>
      <c r="L17" s="4">
        <f>'Deployment Log'!D17</f>
        <v>0</v>
      </c>
      <c r="M17" s="4">
        <f>'Deployment Log'!I17</f>
        <v>0</v>
      </c>
      <c r="N17" s="4">
        <f>'Deployment Log'!J17</f>
        <v>0</v>
      </c>
      <c r="O17" s="4">
        <f>'Deployment Log'!K17</f>
        <v>0</v>
      </c>
      <c r="P17" s="6" t="str">
        <f>'Deployment Log'!L17</f>
        <v/>
      </c>
      <c r="U17" s="7" t="str">
        <f t="shared" si="9"/>
        <v/>
      </c>
      <c r="V17" s="29" t="e">
        <f t="shared" si="2"/>
        <v>#VALUE!</v>
      </c>
      <c r="W17" s="8" t="str">
        <f t="shared" si="10"/>
        <v/>
      </c>
      <c r="X17" s="4" t="str">
        <f>IF('Recovery Log'!V17="","",'Recovery Log'!V17)</f>
        <v/>
      </c>
      <c r="Y17" s="4" t="str">
        <f>IF('Recovery Log'!W17="","",'Recovery Log'!W17)</f>
        <v/>
      </c>
      <c r="Z17" s="6" t="str">
        <f>'Recovery Log'!X17</f>
        <v/>
      </c>
      <c r="AA17" s="8" t="str">
        <f t="shared" si="11"/>
        <v/>
      </c>
      <c r="AB17" s="4" t="str">
        <f>IF('Recovery Log'!Y17="","",'Recovery Log'!Y17)</f>
        <v/>
      </c>
      <c r="AC17" s="4" t="str">
        <f>IF('Recovery Log'!Z17="","",'Recovery Log'!Z17)</f>
        <v/>
      </c>
      <c r="AD17" s="6" t="str">
        <f>'Recovery Log'!AA17</f>
        <v/>
      </c>
      <c r="AF17" s="7" t="str">
        <f t="shared" si="4"/>
        <v/>
      </c>
      <c r="AG17" s="8" t="str">
        <f t="shared" si="5"/>
        <v/>
      </c>
      <c r="AH17" s="6" t="str">
        <f>IF('Recovery Log'!O17&gt;'Deployment Log'!M17,'Recovery Log'!O17-'Deployment Log'!M17,"n/a")</f>
        <v>n/a</v>
      </c>
      <c r="AI17" s="6" t="str">
        <f t="shared" si="6"/>
        <v>n/a</v>
      </c>
      <c r="AJ17" s="4" t="str">
        <f>IF(ISNUMBER(AH17),'Recovery Log'!AC17/AH17,"n/a")</f>
        <v>n/a</v>
      </c>
      <c r="AK17" s="48" t="str">
        <f t="shared" si="7"/>
        <v>n/a</v>
      </c>
      <c r="AL17" s="49" t="str">
        <f t="shared" si="8"/>
        <v>n/a</v>
      </c>
      <c r="AM17" s="4" t="str">
        <f>IF(ISBLANK('Deployment Log'!AF17),"n/a",DEGREES(ATAN2('Deployment Log'!AF17,SQRT('Deployment Log'!AG17^2 + 'Deployment Log'!AH17^2))))</f>
        <v>n/a</v>
      </c>
      <c r="AN17" s="4" t="str">
        <f>IF(ISBLANK('Recovery Log'!P17),"n/a",DEGREES(ATAN2('Recovery Log'!P17,SQRT('Recovery Log'!Q17^2 + 'Recovery Log'!R17^2))))</f>
        <v>n/a</v>
      </c>
      <c r="AO17" s="18" t="str">
        <f>IF(AND(ISNUMBER(D17),ISNUMBER(E17)),(E17-D17)*24*60,"n/a")</f>
        <v>n/a</v>
      </c>
      <c r="AP17" s="18" t="str">
        <f>IF(AND(ISNUMBER(G17),ISNUMBER(H17)),(H17-G17)*24*60,"n/a")</f>
        <v>n/a</v>
      </c>
      <c r="AQ17" s="18" t="str">
        <f>IF(AND(ISNUMBER(G17),ISNUMBER('Recovery Log'!K17)),(G17-'Recovery Log'!K17)*24*60,"n/a")</f>
        <v>n/a</v>
      </c>
      <c r="AR17" s="18" t="str">
        <f>IF(AND(ISNUMBER(H17),ISNUMBER(I17)),(I17-H17)*24*60,"n/a")</f>
        <v>n/a</v>
      </c>
      <c r="AS17" s="18" t="str">
        <f>IF(AND(ISNUMBER('Recovery Log'!I17),ISNUMBER('Recovery Log'!N17)),('Recovery Log'!N17-'Recovery Log'!I17)*24*60,"n/a")</f>
        <v>n/a</v>
      </c>
      <c r="AT17" s="18" t="str">
        <f>IF(ISNUMBER(AO17),O17/AO17,"n/a")</f>
        <v>n/a</v>
      </c>
      <c r="AU17" s="18" t="str">
        <f>IF(ISNUMBER(AP17),O17/AP17,"n/a")</f>
        <v>n/a</v>
      </c>
    </row>
    <row r="18" spans="1:47" x14ac:dyDescent="0.25">
      <c r="A18" s="4">
        <f>'Deployment Log'!A18</f>
        <v>0</v>
      </c>
      <c r="B18" s="4">
        <f>'Deployment Log'!S18</f>
        <v>0</v>
      </c>
      <c r="C18" s="4">
        <f>'Deployment Log'!T18</f>
        <v>0</v>
      </c>
      <c r="D18" s="5" t="str">
        <f>IF('Deployment Log'!N18&gt;DATE(2021,8,1),'Deployment Log'!N18,"n/a")</f>
        <v>n/a</v>
      </c>
      <c r="E18" s="5" t="str">
        <f>IF('Deployment Log'!O18&gt;DATE(2021,8,1),'Deployment Log'!O18,"n/a")</f>
        <v>n/a</v>
      </c>
      <c r="F18" s="5" t="str">
        <f>IF('Deployment Log'!P18&gt;DATE(2021,8,1),'Deployment Log'!P18,"n/a")</f>
        <v>n/a</v>
      </c>
      <c r="G18" s="5" t="str">
        <f>IF('Recovery Log'!L18&gt;DATE(2021,8,1),'Recovery Log'!L18,"n/a")</f>
        <v>n/a</v>
      </c>
      <c r="H18" s="5" t="str">
        <f>IF('Recovery Log'!M18&gt;DATE(2021,8,1),'Recovery Log'!M18,"n/a")</f>
        <v>n/a</v>
      </c>
      <c r="I18" s="5" t="str">
        <f>IF(MIN('Recovery Log'!N18:O18)&gt;DATE(2021,8,1),MIN('Recovery Log'!N18:O18),"n/a")</f>
        <v>n/a</v>
      </c>
      <c r="J18" s="4">
        <f>'Deployment Log'!B18</f>
        <v>0</v>
      </c>
      <c r="K18" s="4">
        <f>'Deployment Log'!C18</f>
        <v>0</v>
      </c>
      <c r="L18" s="4">
        <f>'Deployment Log'!D18</f>
        <v>0</v>
      </c>
      <c r="M18" s="4">
        <f>'Deployment Log'!I18</f>
        <v>0</v>
      </c>
      <c r="N18" s="4">
        <f>'Deployment Log'!J18</f>
        <v>0</v>
      </c>
      <c r="O18" s="4">
        <f>'Deployment Log'!K18</f>
        <v>0</v>
      </c>
      <c r="P18" s="6" t="str">
        <f>'Deployment Log'!L18</f>
        <v/>
      </c>
      <c r="U18" s="7" t="str">
        <f t="shared" si="9"/>
        <v/>
      </c>
      <c r="V18" s="29" t="e">
        <f t="shared" si="2"/>
        <v>#VALUE!</v>
      </c>
      <c r="W18" s="8" t="str">
        <f t="shared" si="10"/>
        <v/>
      </c>
      <c r="X18" s="4" t="str">
        <f>IF('Recovery Log'!V18="","",'Recovery Log'!V18)</f>
        <v/>
      </c>
      <c r="Y18" s="4" t="str">
        <f>IF('Recovery Log'!W18="","",'Recovery Log'!W18)</f>
        <v/>
      </c>
      <c r="Z18" s="6" t="str">
        <f>'Recovery Log'!X18</f>
        <v/>
      </c>
      <c r="AA18" s="8" t="str">
        <f t="shared" si="11"/>
        <v/>
      </c>
      <c r="AB18" s="4" t="str">
        <f>IF('Recovery Log'!Y18="","",'Recovery Log'!Y18)</f>
        <v/>
      </c>
      <c r="AC18" s="4" t="str">
        <f>IF('Recovery Log'!Z18="","",'Recovery Log'!Z18)</f>
        <v/>
      </c>
      <c r="AD18" s="6" t="str">
        <f>'Recovery Log'!AA18</f>
        <v/>
      </c>
      <c r="AF18" s="7" t="str">
        <f t="shared" si="4"/>
        <v/>
      </c>
      <c r="AG18" s="8" t="str">
        <f t="shared" si="5"/>
        <v/>
      </c>
      <c r="AH18" s="6" t="str">
        <f>IF('Recovery Log'!O18&gt;'Deployment Log'!M18,'Recovery Log'!O18-'Deployment Log'!M18,"n/a")</f>
        <v>n/a</v>
      </c>
      <c r="AI18" s="6" t="str">
        <f t="shared" si="6"/>
        <v>n/a</v>
      </c>
      <c r="AJ18" s="4" t="str">
        <f>IF(ISNUMBER(AH18),'Recovery Log'!AC18/AH18,"n/a")</f>
        <v>n/a</v>
      </c>
      <c r="AK18" s="48" t="str">
        <f t="shared" si="7"/>
        <v>n/a</v>
      </c>
      <c r="AL18" s="49" t="str">
        <f t="shared" si="8"/>
        <v>n/a</v>
      </c>
      <c r="AM18" s="4" t="str">
        <f>IF(ISBLANK('Deployment Log'!AF18),"n/a",DEGREES(ATAN2('Deployment Log'!AF18,SQRT('Deployment Log'!AG18^2 + 'Deployment Log'!AH18^2))))</f>
        <v>n/a</v>
      </c>
      <c r="AN18" s="4" t="str">
        <f>IF(ISBLANK('Recovery Log'!P18),"n/a",DEGREES(ATAN2('Recovery Log'!P18,SQRT('Recovery Log'!Q18^2 + 'Recovery Log'!R18^2))))</f>
        <v>n/a</v>
      </c>
      <c r="AO18" s="18" t="str">
        <f>IF(AND(ISNUMBER(D18),ISNUMBER(E18)),(E18-D18)*24*60,"n/a")</f>
        <v>n/a</v>
      </c>
      <c r="AP18" s="18" t="str">
        <f>IF(AND(ISNUMBER(G18),ISNUMBER(H18)),(H18-G18)*24*60,"n/a")</f>
        <v>n/a</v>
      </c>
      <c r="AQ18" s="18" t="str">
        <f>IF(AND(ISNUMBER(G18),ISNUMBER('Recovery Log'!K18)),(G18-'Recovery Log'!K18)*24*60,"n/a")</f>
        <v>n/a</v>
      </c>
      <c r="AR18" s="18" t="str">
        <f>IF(AND(ISNUMBER(H18),ISNUMBER(I18)),(I18-H18)*24*60,"n/a")</f>
        <v>n/a</v>
      </c>
      <c r="AS18" s="18" t="str">
        <f>IF(AND(ISNUMBER('Recovery Log'!I18),ISNUMBER('Recovery Log'!N18)),('Recovery Log'!N18-'Recovery Log'!I18)*24*60,"n/a")</f>
        <v>n/a</v>
      </c>
      <c r="AT18" s="18" t="str">
        <f>IF(ISNUMBER(AO18),O18/AO18,"n/a")</f>
        <v>n/a</v>
      </c>
      <c r="AU18" s="18" t="str">
        <f>IF(ISNUMBER(AP18),O18/AP18,"n/a")</f>
        <v>n/a</v>
      </c>
    </row>
    <row r="19" spans="1:47" x14ac:dyDescent="0.25">
      <c r="A19" s="4">
        <f>'Deployment Log'!A19</f>
        <v>0</v>
      </c>
      <c r="B19" s="4">
        <f>'Deployment Log'!S19</f>
        <v>0</v>
      </c>
      <c r="C19" s="4">
        <f>'Deployment Log'!T19</f>
        <v>0</v>
      </c>
      <c r="D19" s="5" t="str">
        <f>IF('Deployment Log'!N19&gt;DATE(2021,8,1),'Deployment Log'!N19,"n/a")</f>
        <v>n/a</v>
      </c>
      <c r="E19" s="5" t="str">
        <f>IF('Deployment Log'!O19&gt;DATE(2021,8,1),'Deployment Log'!O19,"n/a")</f>
        <v>n/a</v>
      </c>
      <c r="F19" s="5" t="str">
        <f>IF('Deployment Log'!P19&gt;DATE(2021,8,1),'Deployment Log'!P19,"n/a")</f>
        <v>n/a</v>
      </c>
      <c r="G19" s="5" t="str">
        <f>IF('Recovery Log'!L19&gt;DATE(2021,8,1),'Recovery Log'!L19,"n/a")</f>
        <v>n/a</v>
      </c>
      <c r="H19" s="5" t="str">
        <f>IF('Recovery Log'!M19&gt;DATE(2021,8,1),'Recovery Log'!M19,"n/a")</f>
        <v>n/a</v>
      </c>
      <c r="I19" s="5" t="str">
        <f>IF(MIN('Recovery Log'!N19:O19)&gt;DATE(2021,8,1),MIN('Recovery Log'!N19:O19),"n/a")</f>
        <v>n/a</v>
      </c>
      <c r="J19" s="4">
        <f>'Deployment Log'!B19</f>
        <v>0</v>
      </c>
      <c r="K19" s="4">
        <f>'Deployment Log'!C19</f>
        <v>0</v>
      </c>
      <c r="L19" s="4">
        <f>'Deployment Log'!D19</f>
        <v>0</v>
      </c>
      <c r="M19" s="4">
        <f>'Deployment Log'!I19</f>
        <v>0</v>
      </c>
      <c r="N19" s="4">
        <f>'Deployment Log'!J19</f>
        <v>0</v>
      </c>
      <c r="O19" s="4">
        <f>'Deployment Log'!K19</f>
        <v>0</v>
      </c>
      <c r="P19" s="6" t="str">
        <f>'Deployment Log'!L19</f>
        <v/>
      </c>
      <c r="U19" s="7" t="str">
        <f t="shared" si="9"/>
        <v/>
      </c>
      <c r="V19" s="29" t="e">
        <f t="shared" si="2"/>
        <v>#VALUE!</v>
      </c>
      <c r="W19" s="8" t="str">
        <f t="shared" si="10"/>
        <v/>
      </c>
      <c r="X19" s="4" t="str">
        <f>IF('Recovery Log'!V19="","",'Recovery Log'!V19)</f>
        <v/>
      </c>
      <c r="Y19" s="4" t="str">
        <f>IF('Recovery Log'!W19="","",'Recovery Log'!W19)</f>
        <v/>
      </c>
      <c r="Z19" s="6" t="str">
        <f>'Recovery Log'!X19</f>
        <v/>
      </c>
      <c r="AA19" s="8" t="str">
        <f t="shared" si="11"/>
        <v/>
      </c>
      <c r="AB19" s="4" t="str">
        <f>IF('Recovery Log'!Y19="","",'Recovery Log'!Y19)</f>
        <v/>
      </c>
      <c r="AC19" s="4" t="str">
        <f>IF('Recovery Log'!Z19="","",'Recovery Log'!Z19)</f>
        <v/>
      </c>
      <c r="AD19" s="6" t="str">
        <f>'Recovery Log'!AA19</f>
        <v/>
      </c>
      <c r="AF19" s="7" t="str">
        <f t="shared" si="4"/>
        <v/>
      </c>
      <c r="AG19" s="8" t="str">
        <f t="shared" si="5"/>
        <v/>
      </c>
      <c r="AH19" s="6" t="str">
        <f>IF('Recovery Log'!O19&gt;'Deployment Log'!M19,'Recovery Log'!O19-'Deployment Log'!M19,"n/a")</f>
        <v>n/a</v>
      </c>
      <c r="AI19" s="6" t="str">
        <f t="shared" si="6"/>
        <v>n/a</v>
      </c>
      <c r="AJ19" s="4" t="str">
        <f>IF(ISNUMBER(AH19),'Recovery Log'!AC19/AH19,"n/a")</f>
        <v>n/a</v>
      </c>
      <c r="AK19" s="48" t="str">
        <f t="shared" si="7"/>
        <v>n/a</v>
      </c>
      <c r="AL19" s="49" t="str">
        <f t="shared" si="8"/>
        <v>n/a</v>
      </c>
      <c r="AM19" s="4" t="str">
        <f>IF(ISBLANK('Deployment Log'!AF19),"n/a",DEGREES(ATAN2('Deployment Log'!AF19,SQRT('Deployment Log'!AG19^2 + 'Deployment Log'!AH19^2))))</f>
        <v>n/a</v>
      </c>
      <c r="AN19" s="4" t="str">
        <f>IF(ISBLANK('Recovery Log'!P19),"n/a",DEGREES(ATAN2('Recovery Log'!P19,SQRT('Recovery Log'!Q19^2 + 'Recovery Log'!R19^2))))</f>
        <v>n/a</v>
      </c>
      <c r="AO19" s="18" t="str">
        <f>IF(AND(ISNUMBER(D19),ISNUMBER(E19)),(E19-D19)*24*60,"n/a")</f>
        <v>n/a</v>
      </c>
      <c r="AP19" s="18" t="str">
        <f>IF(AND(ISNUMBER(G19),ISNUMBER(H19)),(H19-G19)*24*60,"n/a")</f>
        <v>n/a</v>
      </c>
      <c r="AQ19" s="18" t="str">
        <f>IF(AND(ISNUMBER(G19),ISNUMBER('Recovery Log'!K19)),(G19-'Recovery Log'!K19)*24*60,"n/a")</f>
        <v>n/a</v>
      </c>
      <c r="AR19" s="18" t="str">
        <f>IF(AND(ISNUMBER(H19),ISNUMBER(I19)),(I19-H19)*24*60,"n/a")</f>
        <v>n/a</v>
      </c>
      <c r="AS19" s="18" t="str">
        <f>IF(AND(ISNUMBER('Recovery Log'!I19),ISNUMBER('Recovery Log'!N19)),('Recovery Log'!N19-'Recovery Log'!I19)*24*60,"n/a")</f>
        <v>n/a</v>
      </c>
      <c r="AT19" s="18" t="str">
        <f>IF(ISNUMBER(AO19),O19/AO19,"n/a")</f>
        <v>n/a</v>
      </c>
      <c r="AU19" s="18" t="str">
        <f>IF(ISNUMBER(AP19),O19/AP19,"n/a")</f>
        <v>n/a</v>
      </c>
    </row>
    <row r="20" spans="1:47" x14ac:dyDescent="0.25">
      <c r="A20" s="4">
        <f>'Deployment Log'!A20</f>
        <v>0</v>
      </c>
      <c r="B20" s="4">
        <f>'Deployment Log'!S20</f>
        <v>0</v>
      </c>
      <c r="C20" s="4">
        <f>'Deployment Log'!T20</f>
        <v>0</v>
      </c>
      <c r="D20" s="5" t="str">
        <f>IF('Deployment Log'!N20&gt;DATE(2021,8,1),'Deployment Log'!N20,"n/a")</f>
        <v>n/a</v>
      </c>
      <c r="E20" s="5" t="str">
        <f>IF('Deployment Log'!O20&gt;DATE(2021,8,1),'Deployment Log'!O20,"n/a")</f>
        <v>n/a</v>
      </c>
      <c r="F20" s="5" t="str">
        <f>IF('Deployment Log'!P20&gt;DATE(2021,8,1),'Deployment Log'!P20,"n/a")</f>
        <v>n/a</v>
      </c>
      <c r="G20" s="5" t="str">
        <f>IF('Recovery Log'!L20&gt;DATE(2021,8,1),'Recovery Log'!L20,"n/a")</f>
        <v>n/a</v>
      </c>
      <c r="H20" s="5" t="str">
        <f>IF('Recovery Log'!M20&gt;DATE(2021,8,1),'Recovery Log'!M20,"n/a")</f>
        <v>n/a</v>
      </c>
      <c r="I20" s="5" t="str">
        <f>IF(MIN('Recovery Log'!N20:O20)&gt;DATE(2021,8,1),MIN('Recovery Log'!N20:O20),"n/a")</f>
        <v>n/a</v>
      </c>
      <c r="J20" s="4">
        <f>'Deployment Log'!B20</f>
        <v>0</v>
      </c>
      <c r="K20" s="4">
        <f>'Deployment Log'!C20</f>
        <v>0</v>
      </c>
      <c r="L20" s="4">
        <f>'Deployment Log'!D20</f>
        <v>0</v>
      </c>
      <c r="M20" s="4">
        <f>'Deployment Log'!I20</f>
        <v>0</v>
      </c>
      <c r="N20" s="4">
        <f>'Deployment Log'!J20</f>
        <v>0</v>
      </c>
      <c r="O20" s="4">
        <f>'Deployment Log'!K20</f>
        <v>0</v>
      </c>
      <c r="P20" s="6" t="str">
        <f>'Deployment Log'!L20</f>
        <v/>
      </c>
      <c r="U20" s="7" t="str">
        <f t="shared" si="9"/>
        <v/>
      </c>
      <c r="V20" s="29" t="e">
        <f t="shared" si="2"/>
        <v>#VALUE!</v>
      </c>
      <c r="W20" s="8" t="str">
        <f t="shared" si="10"/>
        <v/>
      </c>
      <c r="X20" s="4" t="str">
        <f>IF('Recovery Log'!V20="","",'Recovery Log'!V20)</f>
        <v/>
      </c>
      <c r="Y20" s="4" t="str">
        <f>IF('Recovery Log'!W20="","",'Recovery Log'!W20)</f>
        <v/>
      </c>
      <c r="Z20" s="6" t="str">
        <f>'Recovery Log'!X20</f>
        <v/>
      </c>
      <c r="AA20" s="8" t="str">
        <f t="shared" si="11"/>
        <v/>
      </c>
      <c r="AB20" s="4" t="str">
        <f>IF('Recovery Log'!Y20="","",'Recovery Log'!Y20)</f>
        <v/>
      </c>
      <c r="AC20" s="4" t="str">
        <f>IF('Recovery Log'!Z20="","",'Recovery Log'!Z20)</f>
        <v/>
      </c>
      <c r="AD20" s="6" t="str">
        <f>'Recovery Log'!AA20</f>
        <v/>
      </c>
      <c r="AF20" s="7" t="str">
        <f t="shared" si="4"/>
        <v/>
      </c>
      <c r="AG20" s="8" t="str">
        <f t="shared" si="5"/>
        <v/>
      </c>
      <c r="AH20" s="6" t="str">
        <f>IF('Recovery Log'!O20&gt;'Deployment Log'!M20,'Recovery Log'!O20-'Deployment Log'!M20,"n/a")</f>
        <v>n/a</v>
      </c>
      <c r="AI20" s="6" t="str">
        <f t="shared" si="6"/>
        <v>n/a</v>
      </c>
      <c r="AJ20" s="4" t="str">
        <f>IF(ISNUMBER(AH20),'Recovery Log'!AC20/AH20,"n/a")</f>
        <v>n/a</v>
      </c>
      <c r="AK20" s="48" t="str">
        <f t="shared" si="7"/>
        <v>n/a</v>
      </c>
      <c r="AL20" s="49" t="str">
        <f t="shared" si="8"/>
        <v>n/a</v>
      </c>
      <c r="AM20" s="4" t="str">
        <f>IF(ISBLANK('Deployment Log'!AF20),"n/a",DEGREES(ATAN2('Deployment Log'!AF20,SQRT('Deployment Log'!AG20^2 + 'Deployment Log'!AH20^2))))</f>
        <v>n/a</v>
      </c>
      <c r="AN20" s="4" t="str">
        <f>IF(ISBLANK('Recovery Log'!P20),"n/a",DEGREES(ATAN2('Recovery Log'!P20,SQRT('Recovery Log'!Q20^2 + 'Recovery Log'!R20^2))))</f>
        <v>n/a</v>
      </c>
      <c r="AO20" s="18" t="str">
        <f>IF(AND(ISNUMBER(D20),ISNUMBER(E20)),(E20-D20)*24*60,"n/a")</f>
        <v>n/a</v>
      </c>
      <c r="AP20" s="18" t="str">
        <f>IF(AND(ISNUMBER(G20),ISNUMBER(H20)),(H20-G20)*24*60,"n/a")</f>
        <v>n/a</v>
      </c>
      <c r="AQ20" s="18" t="str">
        <f>IF(AND(ISNUMBER(G20),ISNUMBER('Recovery Log'!K20)),(G20-'Recovery Log'!K20)*24*60,"n/a")</f>
        <v>n/a</v>
      </c>
      <c r="AR20" s="18" t="str">
        <f>IF(AND(ISNUMBER(H20),ISNUMBER(I20)),(I20-H20)*24*60,"n/a")</f>
        <v>n/a</v>
      </c>
      <c r="AS20" s="18" t="str">
        <f>IF(AND(ISNUMBER('Recovery Log'!I20),ISNUMBER('Recovery Log'!N20)),('Recovery Log'!N20-'Recovery Log'!I20)*24*60,"n/a")</f>
        <v>n/a</v>
      </c>
      <c r="AT20" s="18" t="str">
        <f>IF(ISNUMBER(AO20),O20/AO20,"n/a")</f>
        <v>n/a</v>
      </c>
      <c r="AU20" s="18" t="str">
        <f>IF(ISNUMBER(AP20),O20/AP20,"n/a")</f>
        <v>n/a</v>
      </c>
    </row>
    <row r="21" spans="1:47" x14ac:dyDescent="0.25">
      <c r="A21" s="4">
        <f>'Deployment Log'!A21</f>
        <v>0</v>
      </c>
      <c r="B21" s="4">
        <f>'Deployment Log'!S21</f>
        <v>0</v>
      </c>
      <c r="C21" s="4">
        <f>'Deployment Log'!T21</f>
        <v>0</v>
      </c>
      <c r="D21" s="5" t="str">
        <f>IF('Deployment Log'!N21&gt;DATE(2021,8,1),'Deployment Log'!N21,"n/a")</f>
        <v>n/a</v>
      </c>
      <c r="E21" s="5" t="str">
        <f>IF('Deployment Log'!O21&gt;DATE(2021,8,1),'Deployment Log'!O21,"n/a")</f>
        <v>n/a</v>
      </c>
      <c r="F21" s="5" t="str">
        <f>IF('Deployment Log'!P21&gt;DATE(2021,8,1),'Deployment Log'!P21,"n/a")</f>
        <v>n/a</v>
      </c>
      <c r="G21" s="5" t="str">
        <f>IF('Recovery Log'!L21&gt;DATE(2021,8,1),'Recovery Log'!L21,"n/a")</f>
        <v>n/a</v>
      </c>
      <c r="H21" s="5" t="str">
        <f>IF('Recovery Log'!M21&gt;DATE(2021,8,1),'Recovery Log'!M21,"n/a")</f>
        <v>n/a</v>
      </c>
      <c r="I21" s="5" t="str">
        <f>IF(MIN('Recovery Log'!N21:O21)&gt;DATE(2021,8,1),MIN('Recovery Log'!N21:O21),"n/a")</f>
        <v>n/a</v>
      </c>
      <c r="J21" s="4">
        <f>'Deployment Log'!B21</f>
        <v>0</v>
      </c>
      <c r="K21" s="4">
        <f>'Deployment Log'!C21</f>
        <v>0</v>
      </c>
      <c r="L21" s="4">
        <f>'Deployment Log'!D21</f>
        <v>0</v>
      </c>
      <c r="M21" s="4">
        <f>'Deployment Log'!I21</f>
        <v>0</v>
      </c>
      <c r="N21" s="4">
        <f>'Deployment Log'!J21</f>
        <v>0</v>
      </c>
      <c r="O21" s="4">
        <f>'Deployment Log'!K21</f>
        <v>0</v>
      </c>
      <c r="P21" s="6" t="str">
        <f>'Deployment Log'!L21</f>
        <v/>
      </c>
      <c r="U21" s="7" t="str">
        <f t="shared" si="9"/>
        <v/>
      </c>
      <c r="V21" s="29" t="e">
        <f t="shared" si="2"/>
        <v>#VALUE!</v>
      </c>
      <c r="W21" s="8" t="str">
        <f t="shared" si="10"/>
        <v/>
      </c>
      <c r="X21" s="4" t="str">
        <f>IF('Recovery Log'!V21="","",'Recovery Log'!V21)</f>
        <v/>
      </c>
      <c r="Y21" s="4" t="str">
        <f>IF('Recovery Log'!W21="","",'Recovery Log'!W21)</f>
        <v/>
      </c>
      <c r="Z21" s="6" t="str">
        <f>'Recovery Log'!X21</f>
        <v/>
      </c>
      <c r="AA21" s="8" t="str">
        <f t="shared" si="11"/>
        <v/>
      </c>
      <c r="AB21" s="4" t="str">
        <f>IF('Recovery Log'!Y21="","",'Recovery Log'!Y21)</f>
        <v/>
      </c>
      <c r="AC21" s="4" t="str">
        <f>IF('Recovery Log'!Z21="","",'Recovery Log'!Z21)</f>
        <v/>
      </c>
      <c r="AD21" s="6" t="str">
        <f>'Recovery Log'!AA21</f>
        <v/>
      </c>
      <c r="AF21" s="7" t="str">
        <f t="shared" si="4"/>
        <v/>
      </c>
      <c r="AG21" s="8" t="str">
        <f t="shared" si="5"/>
        <v/>
      </c>
      <c r="AH21" s="6" t="str">
        <f>IF('Recovery Log'!O21&gt;'Deployment Log'!M21,'Recovery Log'!O21-'Deployment Log'!M21,"n/a")</f>
        <v>n/a</v>
      </c>
      <c r="AI21" s="6" t="str">
        <f t="shared" si="6"/>
        <v>n/a</v>
      </c>
      <c r="AJ21" s="4" t="str">
        <f>IF(ISNUMBER(AH21),'Recovery Log'!AC21/AH21,"n/a")</f>
        <v>n/a</v>
      </c>
      <c r="AK21" s="48" t="str">
        <f t="shared" si="7"/>
        <v>n/a</v>
      </c>
      <c r="AL21" s="49" t="str">
        <f t="shared" si="8"/>
        <v>n/a</v>
      </c>
      <c r="AM21" s="4" t="str">
        <f>IF(ISBLANK('Deployment Log'!AF21),"n/a",DEGREES(ATAN2('Deployment Log'!AF21,SQRT('Deployment Log'!AG21^2 + 'Deployment Log'!AH21^2))))</f>
        <v>n/a</v>
      </c>
      <c r="AN21" s="4" t="str">
        <f>IF(ISBLANK('Recovery Log'!P21),"n/a",DEGREES(ATAN2('Recovery Log'!P21,SQRT('Recovery Log'!Q21^2 + 'Recovery Log'!R21^2))))</f>
        <v>n/a</v>
      </c>
      <c r="AO21" s="18" t="str">
        <f>IF(AND(ISNUMBER(D21),ISNUMBER(E21)),(E21-D21)*24*60,"n/a")</f>
        <v>n/a</v>
      </c>
      <c r="AP21" s="18" t="str">
        <f>IF(AND(ISNUMBER(G21),ISNUMBER(H21)),(H21-G21)*24*60,"n/a")</f>
        <v>n/a</v>
      </c>
      <c r="AQ21" s="18" t="str">
        <f>IF(AND(ISNUMBER(G21),ISNUMBER('Recovery Log'!K21)),(G21-'Recovery Log'!K21)*24*60,"n/a")</f>
        <v>n/a</v>
      </c>
      <c r="AR21" s="18" t="str">
        <f>IF(AND(ISNUMBER(H21),ISNUMBER(I21)),(I21-H21)*24*60,"n/a")</f>
        <v>n/a</v>
      </c>
      <c r="AS21" s="18" t="str">
        <f>IF(AND(ISNUMBER('Recovery Log'!I21),ISNUMBER('Recovery Log'!N21)),('Recovery Log'!N21-'Recovery Log'!I21)*24*60,"n/a")</f>
        <v>n/a</v>
      </c>
      <c r="AT21" s="18" t="str">
        <f>IF(ISNUMBER(AO21),O21/AO21,"n/a")</f>
        <v>n/a</v>
      </c>
      <c r="AU21" s="18" t="str">
        <f>IF(ISNUMBER(AP21),O21/AP21,"n/a")</f>
        <v>n/a</v>
      </c>
    </row>
    <row r="22" spans="1:47" x14ac:dyDescent="0.25">
      <c r="A22" s="4">
        <f>'Deployment Log'!A22</f>
        <v>0</v>
      </c>
      <c r="B22" s="4">
        <f>'Deployment Log'!S22</f>
        <v>0</v>
      </c>
      <c r="C22" s="4">
        <f>'Deployment Log'!T22</f>
        <v>0</v>
      </c>
      <c r="D22" s="5" t="str">
        <f>IF('Deployment Log'!N22&gt;DATE(2021,8,1),'Deployment Log'!N22,"n/a")</f>
        <v>n/a</v>
      </c>
      <c r="E22" s="5" t="str">
        <f>IF('Deployment Log'!O22&gt;DATE(2021,8,1),'Deployment Log'!O22,"n/a")</f>
        <v>n/a</v>
      </c>
      <c r="F22" s="5" t="str">
        <f>IF('Deployment Log'!P22&gt;DATE(2021,8,1),'Deployment Log'!P22,"n/a")</f>
        <v>n/a</v>
      </c>
      <c r="G22" s="5" t="str">
        <f>IF('Recovery Log'!L22&gt;DATE(2021,8,1),'Recovery Log'!L22,"n/a")</f>
        <v>n/a</v>
      </c>
      <c r="H22" s="5" t="str">
        <f>IF('Recovery Log'!M22&gt;DATE(2021,8,1),'Recovery Log'!M22,"n/a")</f>
        <v>n/a</v>
      </c>
      <c r="I22" s="5" t="str">
        <f>IF(MIN('Recovery Log'!N22:O22)&gt;DATE(2021,8,1),MIN('Recovery Log'!N22:O22),"n/a")</f>
        <v>n/a</v>
      </c>
      <c r="J22" s="4">
        <f>'Deployment Log'!B22</f>
        <v>0</v>
      </c>
      <c r="K22" s="4">
        <f>'Deployment Log'!C22</f>
        <v>0</v>
      </c>
      <c r="L22" s="4">
        <f>'Deployment Log'!D22</f>
        <v>0</v>
      </c>
      <c r="M22" s="4">
        <f>'Deployment Log'!I22</f>
        <v>0</v>
      </c>
      <c r="N22" s="4">
        <f>'Deployment Log'!J22</f>
        <v>0</v>
      </c>
      <c r="O22" s="4">
        <f>'Deployment Log'!K22</f>
        <v>0</v>
      </c>
      <c r="P22" s="6" t="str">
        <f>'Deployment Log'!L22</f>
        <v/>
      </c>
      <c r="U22" s="7" t="str">
        <f t="shared" si="9"/>
        <v/>
      </c>
      <c r="V22" s="29" t="e">
        <f t="shared" si="2"/>
        <v>#VALUE!</v>
      </c>
      <c r="W22" s="8" t="str">
        <f t="shared" si="10"/>
        <v/>
      </c>
      <c r="X22" s="4" t="str">
        <f>IF('Recovery Log'!V22="","",'Recovery Log'!V22)</f>
        <v/>
      </c>
      <c r="Y22" s="4" t="str">
        <f>IF('Recovery Log'!W22="","",'Recovery Log'!W22)</f>
        <v/>
      </c>
      <c r="Z22" s="6" t="str">
        <f>'Recovery Log'!X22</f>
        <v/>
      </c>
      <c r="AA22" s="8" t="str">
        <f t="shared" si="11"/>
        <v/>
      </c>
      <c r="AB22" s="4" t="str">
        <f>IF('Recovery Log'!Y22="","",'Recovery Log'!Y22)</f>
        <v/>
      </c>
      <c r="AC22" s="4" t="str">
        <f>IF('Recovery Log'!Z22="","",'Recovery Log'!Z22)</f>
        <v/>
      </c>
      <c r="AD22" s="6" t="str">
        <f>'Recovery Log'!AA22</f>
        <v/>
      </c>
      <c r="AF22" s="7" t="str">
        <f t="shared" si="4"/>
        <v/>
      </c>
      <c r="AG22" s="8" t="str">
        <f t="shared" si="5"/>
        <v/>
      </c>
      <c r="AH22" s="6" t="str">
        <f>IF('Recovery Log'!O22&gt;'Deployment Log'!M22,'Recovery Log'!O22-'Deployment Log'!M22,"n/a")</f>
        <v>n/a</v>
      </c>
      <c r="AI22" s="6" t="str">
        <f t="shared" si="6"/>
        <v>n/a</v>
      </c>
      <c r="AJ22" s="4" t="str">
        <f>IF(ISNUMBER(AH22),'Recovery Log'!AC22/AH22,"n/a")</f>
        <v>n/a</v>
      </c>
      <c r="AK22" s="48" t="str">
        <f t="shared" si="7"/>
        <v>n/a</v>
      </c>
      <c r="AL22" s="49" t="str">
        <f t="shared" si="8"/>
        <v>n/a</v>
      </c>
      <c r="AM22" s="4" t="str">
        <f>IF(ISBLANK('Deployment Log'!AF22),"n/a",DEGREES(ATAN2('Deployment Log'!AF22,SQRT('Deployment Log'!AG22^2 + 'Deployment Log'!AH22^2))))</f>
        <v>n/a</v>
      </c>
      <c r="AN22" s="4" t="str">
        <f>IF(ISBLANK('Recovery Log'!P22),"n/a",DEGREES(ATAN2('Recovery Log'!P22,SQRT('Recovery Log'!Q22^2 + 'Recovery Log'!R22^2))))</f>
        <v>n/a</v>
      </c>
      <c r="AO22" s="18" t="str">
        <f>IF(AND(ISNUMBER(D22),ISNUMBER(E22)),(E22-D22)*24*60,"n/a")</f>
        <v>n/a</v>
      </c>
      <c r="AP22" s="18" t="str">
        <f>IF(AND(ISNUMBER(G22),ISNUMBER(H22)),(H22-G22)*24*60,"n/a")</f>
        <v>n/a</v>
      </c>
      <c r="AQ22" s="18" t="str">
        <f>IF(AND(ISNUMBER(G22),ISNUMBER('Recovery Log'!K22)),(G22-'Recovery Log'!K22)*24*60,"n/a")</f>
        <v>n/a</v>
      </c>
      <c r="AR22" s="18" t="str">
        <f>IF(AND(ISNUMBER(H22),ISNUMBER(I22)),(I22-H22)*24*60,"n/a")</f>
        <v>n/a</v>
      </c>
      <c r="AS22" s="18" t="str">
        <f>IF(AND(ISNUMBER('Recovery Log'!I22),ISNUMBER('Recovery Log'!N22)),('Recovery Log'!N22-'Recovery Log'!I22)*24*60,"n/a")</f>
        <v>n/a</v>
      </c>
      <c r="AT22" s="18" t="str">
        <f>IF(ISNUMBER(AO22),O22/AO22,"n/a")</f>
        <v>n/a</v>
      </c>
      <c r="AU22" s="18" t="str">
        <f>IF(ISNUMBER(AP22),O22/AP22,"n/a")</f>
        <v>n/a</v>
      </c>
    </row>
    <row r="23" spans="1:47" x14ac:dyDescent="0.25">
      <c r="A23" s="4">
        <f>'Deployment Log'!A23</f>
        <v>0</v>
      </c>
      <c r="B23" s="4">
        <f>'Deployment Log'!S23</f>
        <v>0</v>
      </c>
      <c r="C23" s="4">
        <f>'Deployment Log'!T23</f>
        <v>0</v>
      </c>
      <c r="D23" s="5" t="str">
        <f>IF('Deployment Log'!N23&gt;DATE(2021,8,1),'Deployment Log'!N23,"n/a")</f>
        <v>n/a</v>
      </c>
      <c r="E23" s="5" t="str">
        <f>IF('Deployment Log'!O23&gt;DATE(2021,8,1),'Deployment Log'!O23,"n/a")</f>
        <v>n/a</v>
      </c>
      <c r="F23" s="5" t="str">
        <f>IF('Deployment Log'!P23&gt;DATE(2021,8,1),'Deployment Log'!P23,"n/a")</f>
        <v>n/a</v>
      </c>
      <c r="G23" s="5" t="str">
        <f>IF('Recovery Log'!L23&gt;DATE(2021,8,1),'Recovery Log'!L23,"n/a")</f>
        <v>n/a</v>
      </c>
      <c r="H23" s="5" t="str">
        <f>IF('Recovery Log'!M23&gt;DATE(2021,8,1),'Recovery Log'!M23,"n/a")</f>
        <v>n/a</v>
      </c>
      <c r="I23" s="5" t="str">
        <f>IF(MIN('Recovery Log'!N23:O23)&gt;DATE(2021,8,1),MIN('Recovery Log'!N23:O23),"n/a")</f>
        <v>n/a</v>
      </c>
      <c r="J23" s="4">
        <f>'Deployment Log'!B23</f>
        <v>0</v>
      </c>
      <c r="K23" s="4">
        <f>'Deployment Log'!C23</f>
        <v>0</v>
      </c>
      <c r="L23" s="4">
        <f>'Deployment Log'!D23</f>
        <v>0</v>
      </c>
      <c r="M23" s="4">
        <f>'Deployment Log'!I23</f>
        <v>0</v>
      </c>
      <c r="N23" s="4">
        <f>'Deployment Log'!J23</f>
        <v>0</v>
      </c>
      <c r="O23" s="4">
        <f>'Deployment Log'!K23</f>
        <v>0</v>
      </c>
      <c r="P23" s="6" t="str">
        <f>'Deployment Log'!L23</f>
        <v/>
      </c>
      <c r="U23" s="7" t="str">
        <f t="shared" si="9"/>
        <v/>
      </c>
      <c r="V23" s="29" t="e">
        <f t="shared" si="2"/>
        <v>#VALUE!</v>
      </c>
      <c r="W23" s="8" t="str">
        <f t="shared" si="10"/>
        <v/>
      </c>
      <c r="X23" s="4" t="str">
        <f>IF('Recovery Log'!V23="","",'Recovery Log'!V23)</f>
        <v/>
      </c>
      <c r="Y23" s="4" t="str">
        <f>IF('Recovery Log'!W23="","",'Recovery Log'!W23)</f>
        <v/>
      </c>
      <c r="Z23" s="6"/>
      <c r="AA23" s="8" t="str">
        <f t="shared" si="11"/>
        <v/>
      </c>
      <c r="AB23" s="4" t="str">
        <f>IF('Recovery Log'!Y23="","",'Recovery Log'!Y23)</f>
        <v/>
      </c>
      <c r="AC23" s="4" t="str">
        <f>IF('Recovery Log'!Z23="","",'Recovery Log'!Z23)</f>
        <v/>
      </c>
      <c r="AD23" s="6"/>
      <c r="AF23" s="7" t="str">
        <f t="shared" ref="AF23" si="12">IF(ISBLANK(Q23),"",2*6370*ASIN(SQRT(SIN(RADIANS(Q23-J23)/2)*SIN(RADIANS(Q23-J23)/2) + COS(RADIANS(Q23))*COS(RADIANS(J23))*SIN(RADIANS(R23-K23)/2)*SIN(RADIANS(R23-K23)/2)))*1000)</f>
        <v/>
      </c>
      <c r="AG23" s="8" t="str">
        <f t="shared" ref="AG23" si="13">IF(ISBLANK(Q23),"",MOD(DEGREES(ATAN2(COS(RADIANS(J23))*SIN(RADIANS(Q23)) - SIN(RADIANS(J23))*COS(RADIANS(Q23))*COS(RADIANS(R23-K23)),COS(RADIANS(Q23))*SIN(RADIANS(R23-K23)))) + 360, 360))</f>
        <v/>
      </c>
      <c r="AH23" s="6" t="str">
        <f>IF('Recovery Log'!O23&gt;'Deployment Log'!M23,'Recovery Log'!O23-'Deployment Log'!M23,"n/a")</f>
        <v>n/a</v>
      </c>
      <c r="AI23" s="6" t="str">
        <f t="shared" si="6"/>
        <v>n/a</v>
      </c>
      <c r="AJ23" s="4" t="str">
        <f>IF(ISNUMBER(AH23),'Recovery Log'!AC23/AH23,"n/a")</f>
        <v>n/a</v>
      </c>
      <c r="AK23" s="48" t="str">
        <f t="shared" si="7"/>
        <v>n/a</v>
      </c>
      <c r="AL23" s="49" t="str">
        <f t="shared" si="8"/>
        <v>n/a</v>
      </c>
      <c r="AM23" s="4" t="str">
        <f>IF(ISBLANK('Deployment Log'!AF23),"n/a",DEGREES(ATAN2('Deployment Log'!AF23,SQRT('Deployment Log'!AG23^2 + 'Deployment Log'!AH23^2))))</f>
        <v>n/a</v>
      </c>
      <c r="AN23" s="4" t="str">
        <f>IF(ISBLANK('Recovery Log'!P23),"n/a",DEGREES(ATAN2('Recovery Log'!P23,SQRT('Recovery Log'!Q23^2 + 'Recovery Log'!R23^2))))</f>
        <v>n/a</v>
      </c>
      <c r="AO23" s="18" t="str">
        <f>IF(AND(ISNUMBER(D23),ISNUMBER(E23)),(E23-D23)*24*60,"n/a")</f>
        <v>n/a</v>
      </c>
      <c r="AP23" s="18" t="str">
        <f>IF(AND(ISNUMBER(G23),ISNUMBER(H23)),(H23-G23)*24*60,"n/a")</f>
        <v>n/a</v>
      </c>
      <c r="AQ23" s="18" t="str">
        <f>IF(AND(ISNUMBER(G23),ISNUMBER('Recovery Log'!K23)),(G23-'Recovery Log'!K23)*24*60,"n/a")</f>
        <v>n/a</v>
      </c>
      <c r="AR23" s="18" t="str">
        <f>IF(AND(ISNUMBER(H23),ISNUMBER(I23)),(I23-H23)*24*60,"n/a")</f>
        <v>n/a</v>
      </c>
      <c r="AS23" s="18" t="str">
        <f>IF(AND(ISNUMBER('Recovery Log'!I23),ISNUMBER('Recovery Log'!N23)),('Recovery Log'!N23-'Recovery Log'!I23)*24*60,"n/a")</f>
        <v>n/a</v>
      </c>
      <c r="AT23" s="18" t="str">
        <f>IF(ISNUMBER(AO23),O23/AO23,"n/a")</f>
        <v>n/a</v>
      </c>
      <c r="AU23" s="18" t="str">
        <f>IF(ISNUMBER(AP23),O23/AP23,"n/a")</f>
        <v>n/a</v>
      </c>
    </row>
    <row r="25" spans="1:47" x14ac:dyDescent="0.25">
      <c r="AQ25" s="18"/>
      <c r="AR25" s="18"/>
      <c r="AS25" s="18"/>
      <c r="AT25" s="18"/>
      <c r="AU25" s="18"/>
    </row>
  </sheetData>
  <mergeCells count="15">
    <mergeCell ref="B1:C1"/>
    <mergeCell ref="X1:AA1"/>
    <mergeCell ref="D1:I1"/>
    <mergeCell ref="AF1:AG1"/>
    <mergeCell ref="AB1:AD1"/>
    <mergeCell ref="Q1:W1"/>
    <mergeCell ref="J1:L1"/>
    <mergeCell ref="M1:P1"/>
    <mergeCell ref="AT1:AU1"/>
    <mergeCell ref="AH1:AH2"/>
    <mergeCell ref="AI1:AI2"/>
    <mergeCell ref="AJ1:AK1"/>
    <mergeCell ref="AL1:AL2"/>
    <mergeCell ref="AM1:AN1"/>
    <mergeCell ref="AO1:AS1"/>
  </mergeCells>
  <conditionalFormatting sqref="P4:P23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4:U23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3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4:AD23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F4:AF23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J4:AJ23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M4:AN2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R4:AS23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T4:AT23">
    <cfRule type="colorScale" priority="3">
      <colorScale>
        <cfvo type="min"/>
        <cfvo type="max"/>
        <color theme="0"/>
        <color theme="4"/>
      </colorScale>
    </cfRule>
  </conditionalFormatting>
  <conditionalFormatting sqref="AU4:AU23">
    <cfRule type="colorScale" priority="2">
      <colorScale>
        <cfvo type="min"/>
        <cfvo type="max"/>
        <color theme="0"/>
        <color theme="5"/>
      </colorScale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6647-ABA4-4313-84D9-B8CE155AE8AF}">
  <dimension ref="A1:AN23"/>
  <sheetViews>
    <sheetView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A8" sqref="A8"/>
    </sheetView>
  </sheetViews>
  <sheetFormatPr defaultColWidth="9.140625" defaultRowHeight="15" x14ac:dyDescent="0.25"/>
  <cols>
    <col min="1" max="1" width="13.140625" style="4" bestFit="1" customWidth="1"/>
    <col min="2" max="2" width="9.140625" style="4"/>
    <col min="3" max="3" width="9.85546875" style="4" bestFit="1" customWidth="1"/>
    <col min="4" max="4" width="10" style="4" customWidth="1"/>
    <col min="5" max="8" width="10" style="4" hidden="1" customWidth="1"/>
    <col min="9" max="9" width="9.140625" style="4"/>
    <col min="10" max="10" width="9.85546875" style="4" bestFit="1" customWidth="1"/>
    <col min="11" max="11" width="10" style="4" bestFit="1" customWidth="1"/>
    <col min="12" max="12" width="26.140625" style="4" bestFit="1" customWidth="1"/>
    <col min="13" max="13" width="26.140625" style="4" customWidth="1"/>
    <col min="14" max="15" width="18.28515625" style="5" bestFit="1" customWidth="1"/>
    <col min="16" max="17" width="18.28515625" style="11" bestFit="1" customWidth="1"/>
    <col min="18" max="18" width="20.140625" style="4" bestFit="1" customWidth="1"/>
    <col min="19" max="19" width="9.140625" style="4"/>
    <col min="20" max="20" width="10" style="4" bestFit="1" customWidth="1"/>
    <col min="21" max="22" width="10" style="4" customWidth="1"/>
    <col min="23" max="24" width="9.140625" style="4"/>
    <col min="25" max="25" width="10.5703125" style="4" bestFit="1" customWidth="1"/>
    <col min="26" max="26" width="9.140625" style="4"/>
    <col min="27" max="27" width="20" style="4" bestFit="1" customWidth="1"/>
    <col min="28" max="28" width="11.42578125" style="4" bestFit="1" customWidth="1"/>
    <col min="29" max="29" width="11" style="4" customWidth="1"/>
    <col min="30" max="37" width="10.42578125" style="4" customWidth="1"/>
    <col min="38" max="38" width="13.28515625" style="4" customWidth="1"/>
    <col min="39" max="39" width="12.140625" style="4" customWidth="1"/>
    <col min="40" max="40" width="98.42578125" style="43" bestFit="1" customWidth="1"/>
    <col min="41" max="16384" width="9.140625" style="4"/>
  </cols>
  <sheetData>
    <row r="1" spans="1:40" s="1" customFormat="1" x14ac:dyDescent="0.25">
      <c r="A1" s="1" t="s">
        <v>0</v>
      </c>
      <c r="B1" s="64" t="s">
        <v>3</v>
      </c>
      <c r="C1" s="64"/>
      <c r="D1" s="64"/>
      <c r="E1" s="64"/>
      <c r="F1" s="64"/>
      <c r="G1" s="64"/>
      <c r="H1" s="64"/>
      <c r="I1" s="64" t="s">
        <v>4</v>
      </c>
      <c r="J1" s="64"/>
      <c r="K1" s="64"/>
      <c r="L1" s="64"/>
      <c r="M1" s="65" t="s">
        <v>2</v>
      </c>
      <c r="N1" s="65"/>
      <c r="O1" s="65"/>
      <c r="P1" s="65"/>
      <c r="Q1" s="65"/>
      <c r="R1" s="65"/>
      <c r="S1" s="64" t="s">
        <v>1</v>
      </c>
      <c r="T1" s="64"/>
      <c r="U1" s="64" t="s">
        <v>24</v>
      </c>
      <c r="V1" s="64"/>
      <c r="W1" s="64" t="s">
        <v>25</v>
      </c>
      <c r="X1" s="64"/>
      <c r="Y1" s="64" t="s">
        <v>26</v>
      </c>
      <c r="Z1" s="64"/>
      <c r="AA1" s="64"/>
      <c r="AB1" s="1" t="s">
        <v>27</v>
      </c>
      <c r="AC1" s="66" t="s">
        <v>28</v>
      </c>
      <c r="AD1" s="64" t="s">
        <v>29</v>
      </c>
      <c r="AE1" s="64"/>
      <c r="AF1" s="64" t="s">
        <v>56</v>
      </c>
      <c r="AG1" s="64"/>
      <c r="AH1" s="64"/>
      <c r="AI1" s="64" t="s">
        <v>60</v>
      </c>
      <c r="AJ1" s="64"/>
      <c r="AK1" s="64"/>
      <c r="AL1" s="66" t="s">
        <v>62</v>
      </c>
      <c r="AM1" s="66"/>
      <c r="AN1" s="41" t="s">
        <v>30</v>
      </c>
    </row>
    <row r="2" spans="1:40" s="2" customFormat="1" ht="15.75" thickBot="1" x14ac:dyDescent="0.3">
      <c r="B2" s="2" t="s">
        <v>16</v>
      </c>
      <c r="C2" s="2" t="s">
        <v>17</v>
      </c>
      <c r="D2" s="2" t="s">
        <v>18</v>
      </c>
      <c r="E2" s="2" t="s">
        <v>141</v>
      </c>
      <c r="F2" s="2" t="s">
        <v>142</v>
      </c>
      <c r="G2" s="2" t="s">
        <v>143</v>
      </c>
      <c r="H2" s="2" t="s">
        <v>144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135</v>
      </c>
      <c r="N2" s="3" t="s">
        <v>10</v>
      </c>
      <c r="O2" s="3" t="s">
        <v>11</v>
      </c>
      <c r="P2" s="31" t="s">
        <v>12</v>
      </c>
      <c r="Q2" s="31" t="s">
        <v>31</v>
      </c>
      <c r="R2" s="3" t="s">
        <v>32</v>
      </c>
      <c r="S2" s="2" t="s">
        <v>8</v>
      </c>
      <c r="T2" s="2" t="s">
        <v>9</v>
      </c>
      <c r="U2" s="2" t="s">
        <v>33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  <c r="AA2" s="2" t="s">
        <v>39</v>
      </c>
      <c r="AB2" s="2" t="s">
        <v>40</v>
      </c>
      <c r="AC2" s="67"/>
      <c r="AD2" s="2" t="s">
        <v>41</v>
      </c>
      <c r="AE2" s="2" t="s">
        <v>42</v>
      </c>
      <c r="AF2" s="2" t="s">
        <v>57</v>
      </c>
      <c r="AG2" s="2" t="s">
        <v>58</v>
      </c>
      <c r="AH2" s="2" t="s">
        <v>59</v>
      </c>
      <c r="AI2" s="2" t="s">
        <v>57</v>
      </c>
      <c r="AJ2" s="2" t="s">
        <v>58</v>
      </c>
      <c r="AK2" s="2" t="s">
        <v>59</v>
      </c>
      <c r="AL2" s="20" t="s">
        <v>110</v>
      </c>
      <c r="AM2" s="20" t="s">
        <v>111</v>
      </c>
      <c r="AN2" s="42"/>
    </row>
    <row r="3" spans="1:40" s="1" customFormat="1" ht="15.75" hidden="1" thickBot="1" x14ac:dyDescent="0.3">
      <c r="A3" s="1" t="s">
        <v>66</v>
      </c>
      <c r="B3" s="1" t="s">
        <v>75</v>
      </c>
      <c r="C3" s="1" t="s">
        <v>76</v>
      </c>
      <c r="D3" s="1" t="s">
        <v>77</v>
      </c>
      <c r="E3" s="2" t="s">
        <v>141</v>
      </c>
      <c r="F3" s="2" t="s">
        <v>142</v>
      </c>
      <c r="G3" s="2" t="s">
        <v>143</v>
      </c>
      <c r="H3" s="2" t="s">
        <v>144</v>
      </c>
      <c r="I3" s="1" t="s">
        <v>78</v>
      </c>
      <c r="J3" s="1" t="s">
        <v>79</v>
      </c>
      <c r="K3" s="1" t="s">
        <v>80</v>
      </c>
      <c r="L3" s="1" t="s">
        <v>81</v>
      </c>
      <c r="M3" s="23" t="s">
        <v>95</v>
      </c>
      <c r="N3" s="19" t="s">
        <v>69</v>
      </c>
      <c r="O3" s="19" t="s">
        <v>70</v>
      </c>
      <c r="P3" s="32" t="s">
        <v>71</v>
      </c>
      <c r="Q3" s="32" t="s">
        <v>96</v>
      </c>
      <c r="R3" s="19" t="s">
        <v>97</v>
      </c>
      <c r="S3" s="1" t="s">
        <v>67</v>
      </c>
      <c r="T3" s="1" t="s">
        <v>68</v>
      </c>
      <c r="U3" s="1" t="s">
        <v>98</v>
      </c>
      <c r="V3" s="1" t="s">
        <v>99</v>
      </c>
      <c r="W3" s="1" t="s">
        <v>100</v>
      </c>
      <c r="X3" s="1" t="s">
        <v>101</v>
      </c>
      <c r="Y3" s="1" t="s">
        <v>37</v>
      </c>
      <c r="Z3" s="1" t="s">
        <v>102</v>
      </c>
      <c r="AA3" s="1" t="s">
        <v>103</v>
      </c>
      <c r="AB3" s="1" t="s">
        <v>104</v>
      </c>
      <c r="AC3" s="1" t="s">
        <v>28</v>
      </c>
      <c r="AD3" s="1" t="s">
        <v>105</v>
      </c>
      <c r="AE3" s="1" t="s">
        <v>106</v>
      </c>
      <c r="AF3" s="1" t="s">
        <v>130</v>
      </c>
      <c r="AG3" s="1" t="s">
        <v>131</v>
      </c>
      <c r="AH3" s="1" t="s">
        <v>132</v>
      </c>
      <c r="AI3" s="1" t="s">
        <v>129</v>
      </c>
      <c r="AJ3" s="1" t="s">
        <v>128</v>
      </c>
      <c r="AK3" s="1" t="s">
        <v>127</v>
      </c>
      <c r="AL3" s="1" t="s">
        <v>107</v>
      </c>
      <c r="AM3" s="1" t="s">
        <v>108</v>
      </c>
      <c r="AN3" s="41" t="s">
        <v>109</v>
      </c>
    </row>
    <row r="4" spans="1:40" x14ac:dyDescent="0.25">
      <c r="B4" s="4">
        <f>E4+F4/60</f>
        <v>0</v>
      </c>
      <c r="C4" s="4">
        <f>-(G4+H4/60)</f>
        <v>0</v>
      </c>
      <c r="L4" s="7" t="str">
        <f>IF(OR(ISBLANK(B4),ISBLANK(I4)),"",2*6370*ASIN(SQRT(SIN(RADIANS(I4-B4)/2)*SIN(RADIANS(I4-B4)/2) + COS(RADIANS(I4))*COS(RADIANS(B4))*SIN(RADIANS(J4-C4)/2)*SIN(RADIANS(J4-C4)/2))))</f>
        <v/>
      </c>
      <c r="M4" s="11"/>
      <c r="R4" s="5"/>
    </row>
    <row r="5" spans="1:40" x14ac:dyDescent="0.25">
      <c r="B5" s="4">
        <f t="shared" ref="B5:B23" si="0">E5+F5/60</f>
        <v>0</v>
      </c>
      <c r="C5" s="4">
        <f t="shared" ref="C5:C23" si="1">-(G5+H5/60)</f>
        <v>0</v>
      </c>
      <c r="L5" s="7" t="str">
        <f t="shared" ref="L5:L11" si="2">IF(OR(ISBLANK(B5),ISBLANK(I5)),"",2*6370*ASIN(SQRT(SIN(RADIANS(I5-B5)/2)*SIN(RADIANS(I5-B5)/2) + COS(RADIANS(I5))*COS(RADIANS(B5))*SIN(RADIANS(J5-C5)/2)*SIN(RADIANS(J5-C5)/2))))</f>
        <v/>
      </c>
      <c r="M5" s="11"/>
      <c r="R5" s="5"/>
      <c r="AN5" s="44"/>
    </row>
    <row r="6" spans="1:40" x14ac:dyDescent="0.25">
      <c r="B6" s="4">
        <f t="shared" si="0"/>
        <v>0</v>
      </c>
      <c r="C6" s="4">
        <f t="shared" si="1"/>
        <v>0</v>
      </c>
      <c r="L6" s="7" t="str">
        <f t="shared" si="2"/>
        <v/>
      </c>
      <c r="M6" s="11"/>
      <c r="R6" s="5"/>
      <c r="AN6" s="44"/>
    </row>
    <row r="7" spans="1:40" x14ac:dyDescent="0.25">
      <c r="B7" s="4">
        <f t="shared" si="0"/>
        <v>0</v>
      </c>
      <c r="C7" s="4">
        <f t="shared" si="1"/>
        <v>0</v>
      </c>
      <c r="L7" s="7" t="str">
        <f t="shared" si="2"/>
        <v/>
      </c>
      <c r="M7" s="11"/>
      <c r="R7" s="5"/>
    </row>
    <row r="8" spans="1:40" x14ac:dyDescent="0.25">
      <c r="B8" s="4">
        <f t="shared" si="0"/>
        <v>0</v>
      </c>
      <c r="C8" s="4">
        <f t="shared" si="1"/>
        <v>0</v>
      </c>
      <c r="L8" s="7" t="str">
        <f t="shared" si="2"/>
        <v/>
      </c>
      <c r="M8" s="11"/>
      <c r="R8" s="5"/>
    </row>
    <row r="9" spans="1:40" x14ac:dyDescent="0.25">
      <c r="B9" s="4">
        <f t="shared" si="0"/>
        <v>0</v>
      </c>
      <c r="C9" s="4">
        <f t="shared" si="1"/>
        <v>0</v>
      </c>
      <c r="L9" s="7" t="str">
        <f t="shared" si="2"/>
        <v/>
      </c>
      <c r="M9" s="11"/>
      <c r="R9" s="5"/>
    </row>
    <row r="10" spans="1:40" x14ac:dyDescent="0.25">
      <c r="B10" s="4">
        <f t="shared" si="0"/>
        <v>0</v>
      </c>
      <c r="C10" s="4">
        <f t="shared" si="1"/>
        <v>0</v>
      </c>
      <c r="L10" s="7" t="str">
        <f t="shared" si="2"/>
        <v/>
      </c>
      <c r="M10" s="11"/>
      <c r="R10" s="5"/>
    </row>
    <row r="11" spans="1:40" x14ac:dyDescent="0.25">
      <c r="B11" s="4">
        <f t="shared" si="0"/>
        <v>0</v>
      </c>
      <c r="C11" s="4">
        <f t="shared" si="1"/>
        <v>0</v>
      </c>
      <c r="L11" s="7" t="str">
        <f t="shared" si="2"/>
        <v/>
      </c>
      <c r="M11" s="11"/>
      <c r="R11" s="5"/>
    </row>
    <row r="12" spans="1:40" x14ac:dyDescent="0.25">
      <c r="B12" s="4">
        <f t="shared" si="0"/>
        <v>0</v>
      </c>
      <c r="C12" s="4">
        <f t="shared" si="1"/>
        <v>0</v>
      </c>
      <c r="L12" s="7" t="str">
        <f>IF(OR(ISBLANK(B12),ISBLANK(I12)),"",2*6370*ASIN(SQRT(SIN(RADIANS(I12-B12)/2)*SIN(RADIANS(I12-B12)/2) + COS(RADIANS(I12))*COS(RADIANS(B12))*SIN(RADIANS(J12-C12)/2)*SIN(RADIANS(J12-C12)/2))))</f>
        <v/>
      </c>
      <c r="M12" s="11"/>
      <c r="R12" s="5"/>
    </row>
    <row r="13" spans="1:40" x14ac:dyDescent="0.25">
      <c r="B13" s="4">
        <f t="shared" si="0"/>
        <v>0</v>
      </c>
      <c r="C13" s="4">
        <f t="shared" si="1"/>
        <v>0</v>
      </c>
      <c r="L13" s="7" t="str">
        <f t="shared" ref="L13:L23" si="3">IF(OR(ISBLANK(B13),ISBLANK(I13)),"",2*6370*ASIN(SQRT(SIN(RADIANS(I13-B13)/2)*SIN(RADIANS(I13-B13)/2) + COS(RADIANS(I13))*COS(RADIANS(B13))*SIN(RADIANS(J13-C13)/2)*SIN(RADIANS(J13-C13)/2))))</f>
        <v/>
      </c>
      <c r="M13" s="11"/>
      <c r="R13" s="11"/>
    </row>
    <row r="14" spans="1:40" x14ac:dyDescent="0.25">
      <c r="B14" s="4">
        <f t="shared" si="0"/>
        <v>0</v>
      </c>
      <c r="C14" s="4">
        <f t="shared" si="1"/>
        <v>0</v>
      </c>
      <c r="L14" s="7" t="str">
        <f t="shared" si="3"/>
        <v/>
      </c>
      <c r="M14" s="11"/>
      <c r="R14" s="11"/>
    </row>
    <row r="15" spans="1:40" x14ac:dyDescent="0.25">
      <c r="B15" s="4">
        <f t="shared" si="0"/>
        <v>0</v>
      </c>
      <c r="C15" s="4">
        <f t="shared" si="1"/>
        <v>0</v>
      </c>
      <c r="L15" s="7" t="str">
        <f t="shared" si="3"/>
        <v/>
      </c>
      <c r="M15" s="11"/>
      <c r="R15" s="11"/>
    </row>
    <row r="16" spans="1:40" x14ac:dyDescent="0.25">
      <c r="B16" s="4">
        <f t="shared" si="0"/>
        <v>0</v>
      </c>
      <c r="C16" s="4">
        <f t="shared" si="1"/>
        <v>0</v>
      </c>
      <c r="L16" s="7" t="str">
        <f t="shared" si="3"/>
        <v/>
      </c>
      <c r="M16" s="11"/>
      <c r="R16" s="11"/>
    </row>
    <row r="17" spans="2:18" x14ac:dyDescent="0.25">
      <c r="B17" s="4">
        <f t="shared" si="0"/>
        <v>0</v>
      </c>
      <c r="C17" s="4">
        <f t="shared" si="1"/>
        <v>0</v>
      </c>
      <c r="L17" s="7" t="str">
        <f t="shared" si="3"/>
        <v/>
      </c>
      <c r="M17" s="11"/>
      <c r="R17" s="11"/>
    </row>
    <row r="18" spans="2:18" x14ac:dyDescent="0.25">
      <c r="B18" s="4">
        <f t="shared" si="0"/>
        <v>0</v>
      </c>
      <c r="C18" s="4">
        <f t="shared" si="1"/>
        <v>0</v>
      </c>
      <c r="L18" s="7" t="str">
        <f t="shared" si="3"/>
        <v/>
      </c>
      <c r="M18" s="11"/>
      <c r="R18" s="11"/>
    </row>
    <row r="19" spans="2:18" x14ac:dyDescent="0.25">
      <c r="B19" s="4">
        <f t="shared" si="0"/>
        <v>0</v>
      </c>
      <c r="C19" s="4">
        <f t="shared" si="1"/>
        <v>0</v>
      </c>
      <c r="L19" s="7" t="str">
        <f t="shared" si="3"/>
        <v/>
      </c>
      <c r="M19" s="11"/>
      <c r="R19" s="11"/>
    </row>
    <row r="20" spans="2:18" x14ac:dyDescent="0.25">
      <c r="B20" s="4">
        <f t="shared" si="0"/>
        <v>0</v>
      </c>
      <c r="C20" s="4">
        <f t="shared" si="1"/>
        <v>0</v>
      </c>
      <c r="L20" s="7" t="str">
        <f t="shared" si="3"/>
        <v/>
      </c>
      <c r="M20" s="11"/>
      <c r="R20" s="11"/>
    </row>
    <row r="21" spans="2:18" x14ac:dyDescent="0.25">
      <c r="B21" s="4">
        <f t="shared" si="0"/>
        <v>0</v>
      </c>
      <c r="C21" s="4">
        <f t="shared" si="1"/>
        <v>0</v>
      </c>
      <c r="L21" s="7" t="str">
        <f t="shared" si="3"/>
        <v/>
      </c>
      <c r="M21" s="11"/>
      <c r="R21" s="11"/>
    </row>
    <row r="22" spans="2:18" x14ac:dyDescent="0.25">
      <c r="B22" s="4">
        <f t="shared" si="0"/>
        <v>0</v>
      </c>
      <c r="C22" s="4">
        <f t="shared" si="1"/>
        <v>0</v>
      </c>
      <c r="L22" s="7" t="str">
        <f t="shared" si="3"/>
        <v/>
      </c>
      <c r="M22" s="11"/>
      <c r="R22" s="11"/>
    </row>
    <row r="23" spans="2:18" x14ac:dyDescent="0.25">
      <c r="B23" s="4">
        <f t="shared" si="0"/>
        <v>0</v>
      </c>
      <c r="C23" s="4">
        <f t="shared" si="1"/>
        <v>0</v>
      </c>
      <c r="L23" s="7" t="str">
        <f t="shared" si="3"/>
        <v/>
      </c>
    </row>
  </sheetData>
  <mergeCells count="12">
    <mergeCell ref="B1:H1"/>
    <mergeCell ref="AL1:AM1"/>
    <mergeCell ref="AC1:AC2"/>
    <mergeCell ref="AD1:AE1"/>
    <mergeCell ref="I1:L1"/>
    <mergeCell ref="S1:T1"/>
    <mergeCell ref="W1:X1"/>
    <mergeCell ref="Y1:AA1"/>
    <mergeCell ref="U1:V1"/>
    <mergeCell ref="M1:R1"/>
    <mergeCell ref="AF1:AH1"/>
    <mergeCell ref="AI1:AK1"/>
  </mergeCells>
  <phoneticPr fontId="4" type="noConversion"/>
  <conditionalFormatting sqref="L4:L23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60AB-45FF-4001-B438-BC557F0592A0}">
  <dimension ref="A1:AH22"/>
  <sheetViews>
    <sheetView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defaultColWidth="9.140625" defaultRowHeight="15" x14ac:dyDescent="0.25"/>
  <cols>
    <col min="1" max="1" width="13.140625" style="4" bestFit="1" customWidth="1"/>
    <col min="2" max="2" width="12.140625" style="4" bestFit="1" customWidth="1"/>
    <col min="3" max="3" width="10.5703125" style="4" bestFit="1" customWidth="1"/>
    <col min="4" max="4" width="12" style="4" bestFit="1" customWidth="1"/>
    <col min="5" max="5" width="9.140625" style="4"/>
    <col min="6" max="6" width="10.140625" style="4" bestFit="1" customWidth="1"/>
    <col min="7" max="7" width="9.140625" style="4"/>
    <col min="8" max="8" width="9.140625" style="4" customWidth="1"/>
    <col min="9" max="9" width="19.140625" style="4" customWidth="1"/>
    <col min="10" max="10" width="18.85546875" style="4" customWidth="1"/>
    <col min="11" max="11" width="19.140625" style="4" customWidth="1"/>
    <col min="12" max="12" width="18.5703125" style="4" customWidth="1"/>
    <col min="13" max="13" width="18.7109375" style="4" customWidth="1"/>
    <col min="14" max="14" width="19" style="4" customWidth="1"/>
    <col min="15" max="15" width="18.85546875" style="4" customWidth="1"/>
    <col min="16" max="22" width="9.140625" style="4" customWidth="1"/>
    <col min="23" max="23" width="9.85546875" style="4" bestFit="1" customWidth="1"/>
    <col min="24" max="24" width="13.85546875" style="4" bestFit="1" customWidth="1"/>
    <col min="25" max="25" width="9.140625" style="4" customWidth="1"/>
    <col min="26" max="26" width="9.85546875" style="4" bestFit="1" customWidth="1"/>
    <col min="27" max="27" width="16.7109375" style="4" bestFit="1" customWidth="1"/>
    <col min="28" max="29" width="9.140625" style="4"/>
    <col min="30" max="30" width="11.42578125" style="4" bestFit="1" customWidth="1"/>
    <col min="31" max="31" width="20.140625" style="4" bestFit="1" customWidth="1"/>
    <col min="32" max="33" width="20.140625" style="4" customWidth="1"/>
    <col min="34" max="34" width="100.5703125" customWidth="1"/>
    <col min="35" max="16384" width="9.140625" style="4"/>
  </cols>
  <sheetData>
    <row r="1" spans="1:34" s="1" customFormat="1" x14ac:dyDescent="0.25">
      <c r="A1" s="1" t="s">
        <v>0</v>
      </c>
      <c r="B1" s="64" t="s">
        <v>43</v>
      </c>
      <c r="C1" s="64"/>
      <c r="D1" s="64"/>
      <c r="E1" s="64" t="s">
        <v>1</v>
      </c>
      <c r="F1" s="64"/>
      <c r="G1" s="64" t="s">
        <v>25</v>
      </c>
      <c r="H1" s="64"/>
      <c r="I1" s="64" t="s">
        <v>2</v>
      </c>
      <c r="J1" s="64"/>
      <c r="K1" s="64"/>
      <c r="L1" s="64"/>
      <c r="M1" s="64"/>
      <c r="N1" s="64"/>
      <c r="O1" s="64"/>
      <c r="P1" s="64" t="s">
        <v>56</v>
      </c>
      <c r="Q1" s="64"/>
      <c r="R1" s="64"/>
      <c r="S1" s="64" t="s">
        <v>60</v>
      </c>
      <c r="T1" s="64"/>
      <c r="U1" s="64"/>
      <c r="V1" s="64" t="s">
        <v>44</v>
      </c>
      <c r="W1" s="64"/>
      <c r="X1" s="64"/>
      <c r="Y1" s="64" t="s">
        <v>7</v>
      </c>
      <c r="Z1" s="64"/>
      <c r="AA1" s="64"/>
      <c r="AB1" s="64" t="s">
        <v>45</v>
      </c>
      <c r="AC1" s="64"/>
      <c r="AD1" s="1" t="s">
        <v>27</v>
      </c>
      <c r="AE1" s="1" t="s">
        <v>46</v>
      </c>
      <c r="AF1" s="64" t="s">
        <v>62</v>
      </c>
      <c r="AG1" s="64"/>
      <c r="AH1" s="9" t="s">
        <v>30</v>
      </c>
    </row>
    <row r="2" spans="1:34" s="2" customFormat="1" ht="15.75" thickBot="1" x14ac:dyDescent="0.3">
      <c r="B2" s="2" t="s">
        <v>16</v>
      </c>
      <c r="C2" s="2" t="s">
        <v>17</v>
      </c>
      <c r="D2" s="2" t="s">
        <v>18</v>
      </c>
      <c r="E2" s="2" t="s">
        <v>8</v>
      </c>
      <c r="F2" s="2" t="s">
        <v>9</v>
      </c>
      <c r="G2" s="2" t="s">
        <v>35</v>
      </c>
      <c r="H2" s="2" t="s">
        <v>36</v>
      </c>
      <c r="I2" s="2" t="s">
        <v>65</v>
      </c>
      <c r="J2" s="2" t="s">
        <v>47</v>
      </c>
      <c r="K2" s="2" t="s">
        <v>61</v>
      </c>
      <c r="L2" s="2" t="s">
        <v>13</v>
      </c>
      <c r="M2" s="2" t="s">
        <v>48</v>
      </c>
      <c r="N2" s="2" t="s">
        <v>49</v>
      </c>
      <c r="O2" s="2" t="s">
        <v>50</v>
      </c>
      <c r="P2" s="2" t="s">
        <v>57</v>
      </c>
      <c r="Q2" s="2" t="s">
        <v>58</v>
      </c>
      <c r="R2" s="2" t="s">
        <v>59</v>
      </c>
      <c r="S2" s="2" t="s">
        <v>57</v>
      </c>
      <c r="T2" s="2" t="s">
        <v>58</v>
      </c>
      <c r="U2" s="2" t="s">
        <v>59</v>
      </c>
      <c r="V2" s="2" t="s">
        <v>16</v>
      </c>
      <c r="W2" s="2" t="s">
        <v>17</v>
      </c>
      <c r="X2" s="2" t="s">
        <v>51</v>
      </c>
      <c r="Y2" s="2" t="s">
        <v>16</v>
      </c>
      <c r="Z2" s="2" t="s">
        <v>17</v>
      </c>
      <c r="AA2" s="2" t="s">
        <v>52</v>
      </c>
      <c r="AB2" s="2" t="s">
        <v>53</v>
      </c>
      <c r="AC2" s="2" t="s">
        <v>49</v>
      </c>
      <c r="AD2" s="2" t="s">
        <v>40</v>
      </c>
      <c r="AF2" s="2" t="s">
        <v>63</v>
      </c>
      <c r="AG2" s="2" t="s">
        <v>64</v>
      </c>
      <c r="AH2" s="10"/>
    </row>
    <row r="3" spans="1:34" s="1" customFormat="1" hidden="1" x14ac:dyDescent="0.25">
      <c r="A3" s="1" t="s">
        <v>66</v>
      </c>
      <c r="B3" s="1" t="s">
        <v>112</v>
      </c>
      <c r="C3" s="1" t="s">
        <v>113</v>
      </c>
      <c r="D3" s="1" t="s">
        <v>114</v>
      </c>
      <c r="E3" s="1" t="s">
        <v>67</v>
      </c>
      <c r="F3" s="1" t="s">
        <v>68</v>
      </c>
      <c r="G3" s="1" t="s">
        <v>100</v>
      </c>
      <c r="H3" s="1" t="s">
        <v>101</v>
      </c>
      <c r="I3" s="1" t="s">
        <v>134</v>
      </c>
      <c r="J3" s="1" t="s">
        <v>115</v>
      </c>
      <c r="K3" s="1" t="s">
        <v>133</v>
      </c>
      <c r="L3" s="1" t="s">
        <v>116</v>
      </c>
      <c r="M3" s="1" t="s">
        <v>117</v>
      </c>
      <c r="N3" s="1" t="s">
        <v>118</v>
      </c>
      <c r="O3" s="1" t="s">
        <v>119</v>
      </c>
      <c r="P3" s="1" t="s">
        <v>130</v>
      </c>
      <c r="Q3" s="1" t="s">
        <v>131</v>
      </c>
      <c r="R3" s="1" t="s">
        <v>132</v>
      </c>
      <c r="S3" s="1" t="s">
        <v>129</v>
      </c>
      <c r="T3" s="1" t="s">
        <v>128</v>
      </c>
      <c r="U3" s="1" t="s">
        <v>127</v>
      </c>
      <c r="V3" s="1" t="s">
        <v>87</v>
      </c>
      <c r="W3" s="1" t="s">
        <v>88</v>
      </c>
      <c r="X3" s="1" t="s">
        <v>120</v>
      </c>
      <c r="Y3" s="1" t="s">
        <v>91</v>
      </c>
      <c r="Z3" s="1" t="s">
        <v>92</v>
      </c>
      <c r="AA3" s="1" t="s">
        <v>93</v>
      </c>
      <c r="AB3" s="1" t="s">
        <v>121</v>
      </c>
      <c r="AC3" s="1" t="s">
        <v>122</v>
      </c>
      <c r="AD3" s="1" t="s">
        <v>123</v>
      </c>
      <c r="AE3" s="1" t="s">
        <v>46</v>
      </c>
      <c r="AF3" s="1" t="s">
        <v>125</v>
      </c>
      <c r="AG3" s="1" t="s">
        <v>126</v>
      </c>
      <c r="AH3" s="9" t="s">
        <v>124</v>
      </c>
    </row>
    <row r="4" spans="1:34" x14ac:dyDescent="0.25">
      <c r="A4" s="4">
        <f>'Deployment Log'!A4</f>
        <v>0</v>
      </c>
      <c r="B4" s="17">
        <f>Locations!Q4</f>
        <v>0</v>
      </c>
      <c r="C4" s="17">
        <f>Locations!R4</f>
        <v>0</v>
      </c>
      <c r="D4" s="18">
        <f>-Locations!S4</f>
        <v>0</v>
      </c>
      <c r="E4" s="4" t="str">
        <f>IF('Deployment Log'!S4="","",'Deployment Log'!S4)</f>
        <v/>
      </c>
      <c r="F4" s="4" t="str">
        <f>IF('Deployment Log'!T4="","",'Deployment Log'!T4)</f>
        <v/>
      </c>
      <c r="G4" s="4" t="str">
        <f>IF('Deployment Log'!W4="","",'Deployment Log'!W4)</f>
        <v/>
      </c>
      <c r="H4" s="4" t="str">
        <f>IF('Deployment Log'!X4="","",'Deployment Log'!X4)</f>
        <v/>
      </c>
      <c r="I4" s="5"/>
      <c r="J4" s="5"/>
      <c r="K4" s="5"/>
      <c r="L4" s="5"/>
      <c r="M4" s="5"/>
      <c r="N4" s="5"/>
      <c r="O4" s="5"/>
      <c r="X4" s="7" t="str">
        <f>IF(ISBLANK(V4),"",2*6370*ASIN(SQRT(SIN(RADIANS(V4-B4)/2)*SIN(RADIANS(V4-B4)/2) + COS(RADIANS(V4))*COS(RADIANS(B4))*SIN(RADIANS(W4-C4)/2)*SIN(RADIANS(W4-C4)/2))))</f>
        <v/>
      </c>
      <c r="AA4" s="7" t="str">
        <f>IF(OR(ISBLANK(V4),ISBLANK(Y4)),"",2*6370*ASIN(SQRT(SIN(RADIANS(Y4-V4)/2)*SIN(RADIANS(Y4-V4)/2) + COS(RADIANS(Y4))*COS(RADIANS(V4))*SIN(RADIANS(Z4-W4)/2)*SIN(RADIANS(Z4-W4)/2))))</f>
        <v/>
      </c>
    </row>
    <row r="5" spans="1:34" x14ac:dyDescent="0.25">
      <c r="A5" s="4">
        <f>'Deployment Log'!A5</f>
        <v>0</v>
      </c>
      <c r="B5" s="17">
        <f>Locations!Q5</f>
        <v>0</v>
      </c>
      <c r="C5" s="17">
        <f>Locations!R5</f>
        <v>0</v>
      </c>
      <c r="D5" s="18">
        <f>-Locations!S5</f>
        <v>0</v>
      </c>
      <c r="E5" s="4" t="str">
        <f>IF('Deployment Log'!S5="","",'Deployment Log'!S5)</f>
        <v/>
      </c>
      <c r="F5" s="4" t="str">
        <f>IF('Deployment Log'!T5="","",'Deployment Log'!T5)</f>
        <v/>
      </c>
      <c r="G5" s="4" t="str">
        <f>IF('Deployment Log'!W5="","",'Deployment Log'!W5)</f>
        <v/>
      </c>
      <c r="H5" s="4" t="str">
        <f>IF('Deployment Log'!X5="","",'Deployment Log'!X5)</f>
        <v/>
      </c>
      <c r="I5" s="5"/>
      <c r="J5" s="5"/>
      <c r="K5" s="5"/>
      <c r="L5" s="5"/>
      <c r="M5" s="5"/>
      <c r="N5" s="5"/>
      <c r="O5" s="5"/>
      <c r="X5" s="7" t="str">
        <f t="shared" ref="X5:X22" si="0">IF(ISBLANK(V5),"",2*6370*ASIN(SQRT(SIN(RADIANS(V5-B5)/2)*SIN(RADIANS(V5-B5)/2) + COS(RADIANS(V5))*COS(RADIANS(B5))*SIN(RADIANS(W5-C5)/2)*SIN(RADIANS(W5-C5)/2))))</f>
        <v/>
      </c>
      <c r="AA5" s="7" t="str">
        <f t="shared" ref="AA5:AA22" si="1">IF(OR(ISBLANK(V5),ISBLANK(Y5)),"",2*6370*ASIN(SQRT(SIN(RADIANS(Y5-V5)/2)*SIN(RADIANS(Y5-V5)/2) + COS(RADIANS(Y5))*COS(RADIANS(V5))*SIN(RADIANS(Z5-W5)/2)*SIN(RADIANS(Z5-W5)/2))))</f>
        <v/>
      </c>
    </row>
    <row r="6" spans="1:34" x14ac:dyDescent="0.25">
      <c r="A6" s="4">
        <f>'Deployment Log'!A6</f>
        <v>0</v>
      </c>
      <c r="B6" s="17">
        <f>Locations!Q6</f>
        <v>0</v>
      </c>
      <c r="C6" s="17">
        <f>Locations!R6</f>
        <v>0</v>
      </c>
      <c r="D6" s="18">
        <f>-Locations!S6</f>
        <v>0</v>
      </c>
      <c r="E6" s="4" t="str">
        <f>IF('Deployment Log'!S6="","",'Deployment Log'!S6)</f>
        <v/>
      </c>
      <c r="F6" s="4" t="str">
        <f>IF('Deployment Log'!T6="","",'Deployment Log'!T6)</f>
        <v/>
      </c>
      <c r="G6" s="4" t="str">
        <f>IF('Deployment Log'!W6="","",'Deployment Log'!W6)</f>
        <v/>
      </c>
      <c r="H6" s="4" t="str">
        <f>IF('Deployment Log'!X6="","",'Deployment Log'!X6)</f>
        <v/>
      </c>
      <c r="I6" s="5"/>
      <c r="J6" s="5"/>
      <c r="K6" s="5"/>
      <c r="L6" s="5"/>
      <c r="M6" s="5"/>
      <c r="N6" s="5"/>
      <c r="O6" s="5"/>
      <c r="X6" s="7" t="str">
        <f t="shared" si="0"/>
        <v/>
      </c>
      <c r="AA6" s="7" t="str">
        <f t="shared" si="1"/>
        <v/>
      </c>
    </row>
    <row r="7" spans="1:34" x14ac:dyDescent="0.25">
      <c r="A7" s="4">
        <f>'Deployment Log'!A7</f>
        <v>0</v>
      </c>
      <c r="B7" s="17">
        <f>Locations!Q7</f>
        <v>0</v>
      </c>
      <c r="C7" s="17">
        <f>Locations!R7</f>
        <v>0</v>
      </c>
      <c r="D7" s="18">
        <f>-Locations!S7</f>
        <v>0</v>
      </c>
      <c r="E7" s="4" t="str">
        <f>IF('Deployment Log'!S7="","",'Deployment Log'!S7)</f>
        <v/>
      </c>
      <c r="F7" s="4" t="str">
        <f>IF('Deployment Log'!T7="","",'Deployment Log'!T7)</f>
        <v/>
      </c>
      <c r="G7" s="4" t="str">
        <f>IF('Deployment Log'!W7="","",'Deployment Log'!W7)</f>
        <v/>
      </c>
      <c r="H7" s="4" t="str">
        <f>IF('Deployment Log'!X7="","",'Deployment Log'!X7)</f>
        <v/>
      </c>
      <c r="I7" s="5"/>
      <c r="J7" s="5"/>
      <c r="K7" s="5"/>
      <c r="L7" s="5"/>
      <c r="M7" s="5"/>
      <c r="N7" s="5"/>
      <c r="O7" s="5"/>
      <c r="X7" s="7" t="str">
        <f t="shared" si="0"/>
        <v/>
      </c>
      <c r="AA7" s="7" t="str">
        <f t="shared" si="1"/>
        <v/>
      </c>
    </row>
    <row r="8" spans="1:34" x14ac:dyDescent="0.25">
      <c r="A8" s="4">
        <f>'Deployment Log'!A8</f>
        <v>0</v>
      </c>
      <c r="B8" s="17">
        <f>Locations!Q8</f>
        <v>0</v>
      </c>
      <c r="C8" s="17">
        <f>Locations!R8</f>
        <v>0</v>
      </c>
      <c r="D8" s="18">
        <f>-Locations!S8</f>
        <v>0</v>
      </c>
      <c r="E8" s="4" t="str">
        <f>IF('Deployment Log'!S8="","",'Deployment Log'!S8)</f>
        <v/>
      </c>
      <c r="F8" s="4" t="str">
        <f>IF('Deployment Log'!T8="","",'Deployment Log'!T8)</f>
        <v/>
      </c>
      <c r="G8" s="4" t="str">
        <f>IF('Deployment Log'!W8="","",'Deployment Log'!W8)</f>
        <v/>
      </c>
      <c r="H8" s="4" t="str">
        <f>IF('Deployment Log'!X8="","",'Deployment Log'!X8)</f>
        <v/>
      </c>
      <c r="I8" s="5"/>
      <c r="J8" s="5"/>
      <c r="K8" s="5"/>
      <c r="L8" s="5"/>
      <c r="M8" s="5"/>
      <c r="N8" s="5"/>
      <c r="O8" s="5"/>
      <c r="X8" s="7" t="str">
        <f t="shared" si="0"/>
        <v/>
      </c>
      <c r="AA8" s="7" t="str">
        <f t="shared" si="1"/>
        <v/>
      </c>
    </row>
    <row r="9" spans="1:34" x14ac:dyDescent="0.25">
      <c r="A9" s="4">
        <f>'Deployment Log'!A9</f>
        <v>0</v>
      </c>
      <c r="B9" s="17">
        <f>Locations!Q9</f>
        <v>0</v>
      </c>
      <c r="C9" s="17">
        <f>Locations!R9</f>
        <v>0</v>
      </c>
      <c r="D9" s="18">
        <f>-Locations!S9</f>
        <v>0</v>
      </c>
      <c r="E9" s="4" t="str">
        <f>IF('Deployment Log'!S9="","",'Deployment Log'!S9)</f>
        <v/>
      </c>
      <c r="F9" s="4" t="str">
        <f>IF('Deployment Log'!T9="","",'Deployment Log'!T9)</f>
        <v/>
      </c>
      <c r="G9" s="4" t="str">
        <f>IF('Deployment Log'!W9="","",'Deployment Log'!W9)</f>
        <v/>
      </c>
      <c r="H9" s="4" t="str">
        <f>IF('Deployment Log'!X9="","",'Deployment Log'!X9)</f>
        <v/>
      </c>
      <c r="I9" s="5"/>
      <c r="J9" s="5"/>
      <c r="K9" s="5"/>
      <c r="L9" s="5"/>
      <c r="M9" s="5"/>
      <c r="N9" s="5"/>
      <c r="O9" s="5"/>
      <c r="X9" s="7" t="str">
        <f t="shared" si="0"/>
        <v/>
      </c>
      <c r="AA9" s="7" t="str">
        <f t="shared" si="1"/>
        <v/>
      </c>
    </row>
    <row r="10" spans="1:34" x14ac:dyDescent="0.25">
      <c r="A10" s="4">
        <f>'Deployment Log'!A10</f>
        <v>0</v>
      </c>
      <c r="B10" s="17">
        <f>Locations!Q10</f>
        <v>0</v>
      </c>
      <c r="C10" s="17">
        <f>Locations!R10</f>
        <v>0</v>
      </c>
      <c r="D10" s="18">
        <f>-Locations!S10</f>
        <v>0</v>
      </c>
      <c r="E10" s="4" t="str">
        <f>IF('Deployment Log'!S10="","",'Deployment Log'!S10)</f>
        <v/>
      </c>
      <c r="F10" s="4" t="str">
        <f>IF('Deployment Log'!T10="","",'Deployment Log'!T10)</f>
        <v/>
      </c>
      <c r="G10" s="4" t="str">
        <f>IF('Deployment Log'!W10="","",'Deployment Log'!W10)</f>
        <v/>
      </c>
      <c r="H10" s="4" t="str">
        <f>IF('Deployment Log'!X10="","",'Deployment Log'!X10)</f>
        <v/>
      </c>
      <c r="I10" s="5"/>
      <c r="J10" s="5"/>
      <c r="K10" s="5"/>
      <c r="L10" s="5"/>
      <c r="M10" s="5"/>
      <c r="N10" s="5"/>
      <c r="O10" s="5"/>
      <c r="X10" s="7" t="str">
        <f t="shared" si="0"/>
        <v/>
      </c>
      <c r="AA10" s="7" t="str">
        <f t="shared" si="1"/>
        <v/>
      </c>
    </row>
    <row r="11" spans="1:34" x14ac:dyDescent="0.25">
      <c r="A11" s="4">
        <f>'Deployment Log'!A11</f>
        <v>0</v>
      </c>
      <c r="B11" s="17">
        <f>Locations!Q11</f>
        <v>0</v>
      </c>
      <c r="C11" s="17">
        <f>Locations!R11</f>
        <v>0</v>
      </c>
      <c r="D11" s="18">
        <f>-Locations!S11</f>
        <v>0</v>
      </c>
      <c r="E11" s="4" t="str">
        <f>IF('Deployment Log'!S11="","",'Deployment Log'!S11)</f>
        <v/>
      </c>
      <c r="F11" s="4" t="str">
        <f>IF('Deployment Log'!T11="","",'Deployment Log'!T11)</f>
        <v/>
      </c>
      <c r="G11" s="4" t="str">
        <f>IF('Deployment Log'!W11="","",'Deployment Log'!W11)</f>
        <v/>
      </c>
      <c r="H11" s="4" t="str">
        <f>IF('Deployment Log'!X11="","",'Deployment Log'!X11)</f>
        <v/>
      </c>
      <c r="I11" s="5"/>
      <c r="J11" s="5"/>
      <c r="K11" s="5"/>
      <c r="L11" s="5"/>
      <c r="M11" s="5"/>
      <c r="N11" s="5"/>
      <c r="O11" s="5"/>
      <c r="X11" s="7" t="str">
        <f t="shared" si="0"/>
        <v/>
      </c>
      <c r="AA11" s="7" t="str">
        <f t="shared" si="1"/>
        <v/>
      </c>
    </row>
    <row r="12" spans="1:34" x14ac:dyDescent="0.25">
      <c r="A12" s="4">
        <f>'Deployment Log'!A12</f>
        <v>0</v>
      </c>
      <c r="B12" s="17">
        <f>Locations!Q12</f>
        <v>0</v>
      </c>
      <c r="C12" s="17">
        <f>Locations!R12</f>
        <v>0</v>
      </c>
      <c r="D12" s="18">
        <f>-Locations!S12</f>
        <v>0</v>
      </c>
      <c r="E12" s="4" t="str">
        <f>IF('Deployment Log'!S12="","",'Deployment Log'!S12)</f>
        <v/>
      </c>
      <c r="F12" s="4" t="str">
        <f>IF('Deployment Log'!T12="","",'Deployment Log'!T12)</f>
        <v/>
      </c>
      <c r="G12" s="4" t="str">
        <f>IF('Deployment Log'!W12="","",'Deployment Log'!W12)</f>
        <v/>
      </c>
      <c r="H12" s="4" t="str">
        <f>IF('Deployment Log'!X12="","",'Deployment Log'!X12)</f>
        <v/>
      </c>
      <c r="I12" s="5"/>
      <c r="J12" s="5"/>
      <c r="K12" s="5"/>
      <c r="L12" s="5"/>
      <c r="M12" s="5"/>
      <c r="N12" s="5"/>
      <c r="O12" s="5"/>
      <c r="X12" s="7" t="str">
        <f t="shared" si="0"/>
        <v/>
      </c>
      <c r="AA12" s="7" t="str">
        <f t="shared" si="1"/>
        <v/>
      </c>
    </row>
    <row r="13" spans="1:34" x14ac:dyDescent="0.25">
      <c r="A13" s="4">
        <f>'Deployment Log'!A13</f>
        <v>0</v>
      </c>
      <c r="B13" s="17">
        <f>Locations!Q13</f>
        <v>0</v>
      </c>
      <c r="C13" s="17">
        <f>Locations!R13</f>
        <v>0</v>
      </c>
      <c r="D13" s="18">
        <f>-Locations!S13</f>
        <v>0</v>
      </c>
      <c r="E13" s="4" t="str">
        <f>IF('Deployment Log'!S13="","",'Deployment Log'!S13)</f>
        <v/>
      </c>
      <c r="F13" s="4" t="str">
        <f>IF('Deployment Log'!T13="","",'Deployment Log'!T13)</f>
        <v/>
      </c>
      <c r="G13" s="4" t="str">
        <f>IF('Deployment Log'!W13="","",'Deployment Log'!W13)</f>
        <v/>
      </c>
      <c r="H13" s="4" t="str">
        <f>IF('Deployment Log'!X13="","",'Deployment Log'!X13)</f>
        <v/>
      </c>
      <c r="I13" s="5"/>
      <c r="J13" s="5"/>
      <c r="K13" s="5"/>
      <c r="L13" s="5"/>
      <c r="M13" s="5"/>
      <c r="N13" s="5"/>
      <c r="O13" s="5"/>
      <c r="X13" s="7" t="str">
        <f t="shared" si="0"/>
        <v/>
      </c>
      <c r="AA13" s="7" t="str">
        <f t="shared" si="1"/>
        <v/>
      </c>
    </row>
    <row r="14" spans="1:34" x14ac:dyDescent="0.25">
      <c r="A14" s="4">
        <f>'Deployment Log'!A14</f>
        <v>0</v>
      </c>
      <c r="B14" s="17">
        <f>Locations!Q14</f>
        <v>0</v>
      </c>
      <c r="C14" s="17">
        <f>Locations!R14</f>
        <v>0</v>
      </c>
      <c r="D14" s="18">
        <f>-Locations!S14</f>
        <v>0</v>
      </c>
      <c r="E14" s="4" t="str">
        <f>IF('Deployment Log'!S14="","",'Deployment Log'!S14)</f>
        <v/>
      </c>
      <c r="F14" s="4" t="str">
        <f>IF('Deployment Log'!T14="","",'Deployment Log'!T14)</f>
        <v/>
      </c>
      <c r="G14" s="4" t="str">
        <f>IF('Deployment Log'!W14="","",'Deployment Log'!W14)</f>
        <v/>
      </c>
      <c r="H14" s="4" t="str">
        <f>IF('Deployment Log'!X14="","",'Deployment Log'!X14)</f>
        <v/>
      </c>
      <c r="I14" s="5"/>
      <c r="J14" s="5"/>
      <c r="K14" s="5"/>
      <c r="L14" s="5"/>
      <c r="M14" s="5"/>
      <c r="N14" s="5"/>
      <c r="O14" s="5"/>
      <c r="X14" s="7" t="str">
        <f t="shared" si="0"/>
        <v/>
      </c>
      <c r="AA14" s="7" t="str">
        <f t="shared" si="1"/>
        <v/>
      </c>
    </row>
    <row r="15" spans="1:34" x14ac:dyDescent="0.25">
      <c r="A15" s="4">
        <f>'Deployment Log'!A15</f>
        <v>0</v>
      </c>
      <c r="B15" s="17">
        <f>Locations!Q15</f>
        <v>0</v>
      </c>
      <c r="C15" s="17">
        <f>Locations!R15</f>
        <v>0</v>
      </c>
      <c r="D15" s="18">
        <f>-Locations!S15</f>
        <v>0</v>
      </c>
      <c r="E15" s="4" t="str">
        <f>IF('Deployment Log'!S15="","",'Deployment Log'!S15)</f>
        <v/>
      </c>
      <c r="F15" s="4" t="str">
        <f>IF('Deployment Log'!T15="","",'Deployment Log'!T15)</f>
        <v/>
      </c>
      <c r="G15" s="4" t="str">
        <f>IF('Deployment Log'!W15="","",'Deployment Log'!W15)</f>
        <v/>
      </c>
      <c r="H15" s="4" t="str">
        <f>IF('Deployment Log'!X15="","",'Deployment Log'!X15)</f>
        <v/>
      </c>
      <c r="I15" s="5"/>
      <c r="J15" s="5"/>
      <c r="K15" s="5"/>
      <c r="L15" s="5"/>
      <c r="M15" s="5"/>
      <c r="N15" s="5"/>
      <c r="O15" s="5"/>
      <c r="X15" s="7" t="str">
        <f t="shared" si="0"/>
        <v/>
      </c>
      <c r="AA15" s="7" t="str">
        <f t="shared" si="1"/>
        <v/>
      </c>
    </row>
    <row r="16" spans="1:34" x14ac:dyDescent="0.25">
      <c r="A16" s="4">
        <f>'Deployment Log'!A16</f>
        <v>0</v>
      </c>
      <c r="B16" s="17">
        <f>Locations!Q16</f>
        <v>0</v>
      </c>
      <c r="C16" s="17">
        <f>Locations!R16</f>
        <v>0</v>
      </c>
      <c r="D16" s="18">
        <f>-Locations!S16</f>
        <v>0</v>
      </c>
      <c r="E16" s="4" t="str">
        <f>IF('Deployment Log'!S16="","",'Deployment Log'!S16)</f>
        <v/>
      </c>
      <c r="F16" s="4" t="str">
        <f>IF('Deployment Log'!T16="","",'Deployment Log'!T16)</f>
        <v/>
      </c>
      <c r="G16" s="4" t="str">
        <f>IF('Deployment Log'!W16="","",'Deployment Log'!W16)</f>
        <v/>
      </c>
      <c r="H16" s="4" t="str">
        <f>IF('Deployment Log'!X16="","",'Deployment Log'!X16)</f>
        <v/>
      </c>
      <c r="I16" s="5"/>
      <c r="J16" s="5"/>
      <c r="K16" s="5"/>
      <c r="L16" s="5"/>
      <c r="M16" s="5"/>
      <c r="N16" s="5"/>
      <c r="O16" s="5"/>
      <c r="X16" s="7" t="str">
        <f t="shared" si="0"/>
        <v/>
      </c>
      <c r="AA16" s="7" t="str">
        <f t="shared" si="1"/>
        <v/>
      </c>
    </row>
    <row r="17" spans="1:27" x14ac:dyDescent="0.25">
      <c r="A17" s="4">
        <f>'Deployment Log'!A17</f>
        <v>0</v>
      </c>
      <c r="B17" s="17">
        <f>Locations!Q17</f>
        <v>0</v>
      </c>
      <c r="C17" s="17">
        <f>Locations!R17</f>
        <v>0</v>
      </c>
      <c r="D17" s="18">
        <f>-Locations!S17</f>
        <v>0</v>
      </c>
      <c r="E17" s="4" t="str">
        <f>IF('Deployment Log'!S17="","",'Deployment Log'!S17)</f>
        <v/>
      </c>
      <c r="F17" s="4" t="str">
        <f>IF('Deployment Log'!T17="","",'Deployment Log'!T17)</f>
        <v/>
      </c>
      <c r="G17" s="4" t="str">
        <f>IF('Deployment Log'!W17="","",'Deployment Log'!W17)</f>
        <v/>
      </c>
      <c r="H17" s="4" t="str">
        <f>IF('Deployment Log'!X17="","",'Deployment Log'!X17)</f>
        <v/>
      </c>
      <c r="I17" s="5"/>
      <c r="J17" s="5"/>
      <c r="K17" s="5"/>
      <c r="L17" s="5"/>
      <c r="M17" s="5"/>
      <c r="N17" s="5"/>
      <c r="O17" s="5"/>
      <c r="X17" s="7" t="str">
        <f t="shared" si="0"/>
        <v/>
      </c>
      <c r="AA17" s="7" t="str">
        <f t="shared" si="1"/>
        <v/>
      </c>
    </row>
    <row r="18" spans="1:27" x14ac:dyDescent="0.25">
      <c r="A18" s="4">
        <f>'Deployment Log'!A18</f>
        <v>0</v>
      </c>
      <c r="B18" s="17">
        <f>Locations!Q18</f>
        <v>0</v>
      </c>
      <c r="C18" s="17">
        <f>Locations!R18</f>
        <v>0</v>
      </c>
      <c r="D18" s="18">
        <f>-Locations!S18</f>
        <v>0</v>
      </c>
      <c r="E18" s="4" t="str">
        <f>IF('Deployment Log'!S18="","",'Deployment Log'!S18)</f>
        <v/>
      </c>
      <c r="F18" s="4" t="str">
        <f>IF('Deployment Log'!T18="","",'Deployment Log'!T18)</f>
        <v/>
      </c>
      <c r="G18" s="4" t="str">
        <f>IF('Deployment Log'!W18="","",'Deployment Log'!W18)</f>
        <v/>
      </c>
      <c r="H18" s="4" t="str">
        <f>IF('Deployment Log'!X18="","",'Deployment Log'!X18)</f>
        <v/>
      </c>
      <c r="I18" s="5"/>
      <c r="J18" s="5"/>
      <c r="K18" s="5"/>
      <c r="L18" s="5"/>
      <c r="M18" s="5"/>
      <c r="N18" s="5"/>
      <c r="O18" s="5"/>
      <c r="X18" s="7" t="str">
        <f t="shared" si="0"/>
        <v/>
      </c>
      <c r="AA18" s="7" t="str">
        <f t="shared" si="1"/>
        <v/>
      </c>
    </row>
    <row r="19" spans="1:27" x14ac:dyDescent="0.25">
      <c r="A19" s="4">
        <f>'Deployment Log'!A19</f>
        <v>0</v>
      </c>
      <c r="B19" s="17">
        <f>Locations!Q19</f>
        <v>0</v>
      </c>
      <c r="C19" s="17">
        <f>Locations!R19</f>
        <v>0</v>
      </c>
      <c r="D19" s="18">
        <f>-Locations!S19</f>
        <v>0</v>
      </c>
      <c r="E19" s="4" t="str">
        <f>IF('Deployment Log'!S19="","",'Deployment Log'!S19)</f>
        <v/>
      </c>
      <c r="F19" s="4" t="str">
        <f>IF('Deployment Log'!T19="","",'Deployment Log'!T19)</f>
        <v/>
      </c>
      <c r="G19" s="4" t="str">
        <f>IF('Deployment Log'!W19="","",'Deployment Log'!W19)</f>
        <v/>
      </c>
      <c r="H19" s="4" t="str">
        <f>IF('Deployment Log'!X19="","",'Deployment Log'!X19)</f>
        <v/>
      </c>
      <c r="I19" s="5"/>
      <c r="J19" s="5"/>
      <c r="K19" s="5"/>
      <c r="L19" s="5"/>
      <c r="M19" s="5"/>
      <c r="N19" s="5"/>
      <c r="O19" s="5"/>
      <c r="X19" s="7" t="str">
        <f t="shared" si="0"/>
        <v/>
      </c>
      <c r="AA19" s="7" t="str">
        <f t="shared" si="1"/>
        <v/>
      </c>
    </row>
    <row r="20" spans="1:27" x14ac:dyDescent="0.25">
      <c r="A20" s="4">
        <f>'Deployment Log'!A20</f>
        <v>0</v>
      </c>
      <c r="B20" s="17">
        <f>Locations!Q20</f>
        <v>0</v>
      </c>
      <c r="C20" s="17">
        <f>Locations!R20</f>
        <v>0</v>
      </c>
      <c r="D20" s="18">
        <f>-Locations!S20</f>
        <v>0</v>
      </c>
      <c r="E20" s="4" t="str">
        <f>IF('Deployment Log'!S20="","",'Deployment Log'!S20)</f>
        <v/>
      </c>
      <c r="F20" s="4" t="str">
        <f>IF('Deployment Log'!T20="","",'Deployment Log'!T20)</f>
        <v/>
      </c>
      <c r="G20" s="4" t="str">
        <f>IF('Deployment Log'!W20="","",'Deployment Log'!W20)</f>
        <v/>
      </c>
      <c r="H20" s="4" t="str">
        <f>IF('Deployment Log'!X20="","",'Deployment Log'!X20)</f>
        <v/>
      </c>
      <c r="I20" s="5"/>
      <c r="J20" s="5"/>
      <c r="K20" s="5"/>
      <c r="L20" s="5"/>
      <c r="M20" s="5"/>
      <c r="N20" s="5"/>
      <c r="O20" s="5"/>
      <c r="X20" s="7" t="str">
        <f t="shared" si="0"/>
        <v/>
      </c>
      <c r="AA20" s="7" t="str">
        <f t="shared" si="1"/>
        <v/>
      </c>
    </row>
    <row r="21" spans="1:27" x14ac:dyDescent="0.25">
      <c r="A21" s="4">
        <f>'Deployment Log'!A21</f>
        <v>0</v>
      </c>
      <c r="B21" s="17">
        <f>Locations!Q21</f>
        <v>0</v>
      </c>
      <c r="C21" s="17">
        <f>Locations!R21</f>
        <v>0</v>
      </c>
      <c r="D21" s="18">
        <f>-Locations!S21</f>
        <v>0</v>
      </c>
      <c r="E21" s="4" t="str">
        <f>IF('Deployment Log'!S21="","",'Deployment Log'!S21)</f>
        <v/>
      </c>
      <c r="F21" s="4" t="str">
        <f>IF('Deployment Log'!T21="","",'Deployment Log'!T21)</f>
        <v/>
      </c>
      <c r="G21" s="4" t="str">
        <f>IF('Deployment Log'!W21="","",'Deployment Log'!W21)</f>
        <v/>
      </c>
      <c r="H21" s="4" t="str">
        <f>IF('Deployment Log'!X21="","",'Deployment Log'!X21)</f>
        <v/>
      </c>
      <c r="I21" s="5"/>
      <c r="J21" s="5"/>
      <c r="K21" s="5"/>
      <c r="L21" s="5"/>
      <c r="M21" s="5"/>
      <c r="N21" s="5"/>
      <c r="O21" s="5"/>
      <c r="X21" s="7" t="str">
        <f t="shared" si="0"/>
        <v/>
      </c>
      <c r="AA21" s="7" t="str">
        <f t="shared" si="1"/>
        <v/>
      </c>
    </row>
    <row r="22" spans="1:27" x14ac:dyDescent="0.25">
      <c r="A22" s="4">
        <f>'Deployment Log'!A22</f>
        <v>0</v>
      </c>
      <c r="B22" s="17">
        <f>Locations!Q22</f>
        <v>0</v>
      </c>
      <c r="C22" s="17">
        <f>Locations!R22</f>
        <v>0</v>
      </c>
      <c r="D22" s="18">
        <f>-Locations!S22</f>
        <v>0</v>
      </c>
      <c r="E22" s="4" t="str">
        <f>IF('Deployment Log'!S22="","",'Deployment Log'!S22)</f>
        <v/>
      </c>
      <c r="F22" s="4" t="str">
        <f>IF('Deployment Log'!T22="","",'Deployment Log'!T22)</f>
        <v/>
      </c>
      <c r="G22" s="4" t="str">
        <f>IF('Deployment Log'!W22="","",'Deployment Log'!W22)</f>
        <v/>
      </c>
      <c r="H22" s="4" t="str">
        <f>IF('Deployment Log'!X22="","",'Deployment Log'!X22)</f>
        <v/>
      </c>
      <c r="I22" s="5"/>
      <c r="J22" s="5"/>
      <c r="K22" s="5"/>
      <c r="L22" s="5"/>
      <c r="M22" s="5"/>
      <c r="N22" s="5"/>
      <c r="O22" s="5"/>
      <c r="X22" s="7" t="str">
        <f t="shared" si="0"/>
        <v/>
      </c>
      <c r="AA22" s="7" t="str">
        <f t="shared" si="1"/>
        <v/>
      </c>
    </row>
  </sheetData>
  <mergeCells count="10">
    <mergeCell ref="AF1:AG1"/>
    <mergeCell ref="I1:O1"/>
    <mergeCell ref="B1:D1"/>
    <mergeCell ref="E1:F1"/>
    <mergeCell ref="G1:H1"/>
    <mergeCell ref="V1:X1"/>
    <mergeCell ref="AB1:AC1"/>
    <mergeCell ref="Y1:AA1"/>
    <mergeCell ref="P1:R1"/>
    <mergeCell ref="S1:U1"/>
  </mergeCells>
  <conditionalFormatting sqref="X4:X22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4:AA22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F1D-E9E8-4DDB-80E9-E860F351F3FA}">
  <sheetPr>
    <pageSetUpPr fitToPage="1"/>
  </sheetPr>
  <dimension ref="A1:L23"/>
  <sheetViews>
    <sheetView workbookViewId="0">
      <selection activeCell="L3" sqref="L3"/>
    </sheetView>
  </sheetViews>
  <sheetFormatPr defaultRowHeight="15" x14ac:dyDescent="0.25"/>
  <cols>
    <col min="1" max="1" width="9.5703125" customWidth="1"/>
    <col min="2" max="3" width="11.42578125" customWidth="1"/>
    <col min="4" max="4" width="10.28515625" customWidth="1"/>
    <col min="5" max="5" width="10.85546875" customWidth="1"/>
    <col min="6" max="6" width="11.85546875" customWidth="1"/>
    <col min="7" max="7" width="8.140625" bestFit="1" customWidth="1"/>
    <col min="8" max="8" width="10.7109375" customWidth="1"/>
    <col min="9" max="9" width="10.5703125" bestFit="1" customWidth="1"/>
    <col min="11" max="11" width="20.28515625" customWidth="1"/>
    <col min="12" max="12" width="17.85546875" customWidth="1"/>
  </cols>
  <sheetData>
    <row r="1" spans="1:12" ht="20.100000000000001" customHeight="1" x14ac:dyDescent="0.25">
      <c r="A1" s="70" t="s">
        <v>0</v>
      </c>
      <c r="B1" s="69" t="s">
        <v>55</v>
      </c>
      <c r="C1" s="69"/>
      <c r="D1" s="69"/>
      <c r="E1" s="69" t="s">
        <v>1</v>
      </c>
      <c r="F1" s="69"/>
      <c r="G1" s="69" t="s">
        <v>25</v>
      </c>
      <c r="H1" s="69"/>
      <c r="I1" s="69" t="s">
        <v>26</v>
      </c>
      <c r="J1" s="69"/>
      <c r="K1" s="68" t="s">
        <v>2</v>
      </c>
      <c r="L1" s="68"/>
    </row>
    <row r="2" spans="1:12" s="16" customFormat="1" ht="20.100000000000001" customHeight="1" thickBot="1" x14ac:dyDescent="0.3">
      <c r="A2" s="71"/>
      <c r="B2" s="14" t="s">
        <v>16</v>
      </c>
      <c r="C2" s="14" t="s">
        <v>17</v>
      </c>
      <c r="D2" s="14" t="s">
        <v>18</v>
      </c>
      <c r="E2" s="14" t="s">
        <v>8</v>
      </c>
      <c r="F2" s="14" t="s">
        <v>9</v>
      </c>
      <c r="G2" s="14" t="s">
        <v>35</v>
      </c>
      <c r="H2" s="14" t="s">
        <v>36</v>
      </c>
      <c r="I2" s="14" t="s">
        <v>37</v>
      </c>
      <c r="J2" s="14" t="s">
        <v>38</v>
      </c>
      <c r="K2" s="15" t="s">
        <v>10</v>
      </c>
      <c r="L2" s="14" t="s">
        <v>152</v>
      </c>
    </row>
    <row r="3" spans="1:12" ht="20.100000000000001" customHeight="1" x14ac:dyDescent="0.25">
      <c r="A3" s="24">
        <f>'Deployment Log'!A4</f>
        <v>0</v>
      </c>
      <c r="B3" s="34">
        <f>Locations!Q4</f>
        <v>0</v>
      </c>
      <c r="C3" s="34">
        <f>Locations!R4</f>
        <v>0</v>
      </c>
      <c r="D3" s="35">
        <f>-Locations!S4</f>
        <v>0</v>
      </c>
      <c r="E3" s="24">
        <f>'Deployment Log'!S4</f>
        <v>0</v>
      </c>
      <c r="F3" s="24">
        <f>'Deployment Log'!T4</f>
        <v>0</v>
      </c>
      <c r="G3" s="24">
        <f>'Deployment Log'!W4</f>
        <v>0</v>
      </c>
      <c r="H3" s="24">
        <f>'Deployment Log'!X4</f>
        <v>0</v>
      </c>
      <c r="I3" s="24">
        <f>'Deployment Log'!Y4</f>
        <v>0</v>
      </c>
      <c r="J3" s="24">
        <f>'Deployment Log'!Z4</f>
        <v>0</v>
      </c>
      <c r="K3" s="36">
        <f>'Deployment Log'!N4</f>
        <v>0</v>
      </c>
      <c r="L3" s="39">
        <f>'Deployment Log'!R4</f>
        <v>0</v>
      </c>
    </row>
    <row r="4" spans="1:12" ht="20.100000000000001" customHeight="1" x14ac:dyDescent="0.25">
      <c r="A4" s="24">
        <f>'Deployment Log'!A5</f>
        <v>0</v>
      </c>
      <c r="B4" s="37">
        <f>Locations!Q5</f>
        <v>0</v>
      </c>
      <c r="C4" s="37">
        <f>Locations!R5</f>
        <v>0</v>
      </c>
      <c r="D4" s="38">
        <f>-Locations!S5</f>
        <v>0</v>
      </c>
      <c r="E4" s="24">
        <f>'Deployment Log'!S5</f>
        <v>0</v>
      </c>
      <c r="F4" s="24">
        <f>'Deployment Log'!T5</f>
        <v>0</v>
      </c>
      <c r="G4" s="24">
        <f>'Deployment Log'!W5</f>
        <v>0</v>
      </c>
      <c r="H4" s="24">
        <f>'Deployment Log'!X5</f>
        <v>0</v>
      </c>
      <c r="I4" s="24">
        <f>'Deployment Log'!Y5</f>
        <v>0</v>
      </c>
      <c r="J4" s="24">
        <f>'Deployment Log'!Z5</f>
        <v>0</v>
      </c>
      <c r="K4" s="36">
        <f>'Deployment Log'!N5</f>
        <v>0</v>
      </c>
      <c r="L4" s="40">
        <f>'Deployment Log'!R5</f>
        <v>0</v>
      </c>
    </row>
    <row r="5" spans="1:12" ht="20.100000000000001" customHeight="1" x14ac:dyDescent="0.25">
      <c r="A5" s="24">
        <f>'Deployment Log'!A6</f>
        <v>0</v>
      </c>
      <c r="B5" s="37">
        <f>Locations!Q6</f>
        <v>0</v>
      </c>
      <c r="C5" s="37">
        <f>Locations!R6</f>
        <v>0</v>
      </c>
      <c r="D5" s="38">
        <f>-Locations!S6</f>
        <v>0</v>
      </c>
      <c r="E5" s="24">
        <f>'Deployment Log'!S6</f>
        <v>0</v>
      </c>
      <c r="F5" s="24">
        <f>'Deployment Log'!T6</f>
        <v>0</v>
      </c>
      <c r="G5" s="24">
        <f>'Deployment Log'!W6</f>
        <v>0</v>
      </c>
      <c r="H5" s="24">
        <f>'Deployment Log'!X6</f>
        <v>0</v>
      </c>
      <c r="I5" s="24">
        <f>'Deployment Log'!Y6</f>
        <v>0</v>
      </c>
      <c r="J5" s="24">
        <f>'Deployment Log'!Z6</f>
        <v>0</v>
      </c>
      <c r="K5" s="36">
        <f>'Deployment Log'!N6</f>
        <v>0</v>
      </c>
      <c r="L5" s="40">
        <f>'Deployment Log'!R6</f>
        <v>0</v>
      </c>
    </row>
    <row r="6" spans="1:12" ht="20.100000000000001" customHeight="1" x14ac:dyDescent="0.25">
      <c r="A6" s="24">
        <f>'Deployment Log'!A7</f>
        <v>0</v>
      </c>
      <c r="B6" s="37">
        <f>Locations!Q7</f>
        <v>0</v>
      </c>
      <c r="C6" s="37">
        <f>Locations!R7</f>
        <v>0</v>
      </c>
      <c r="D6" s="38">
        <f>-Locations!S7</f>
        <v>0</v>
      </c>
      <c r="E6" s="24">
        <f>'Deployment Log'!S7</f>
        <v>0</v>
      </c>
      <c r="F6" s="24">
        <f>'Deployment Log'!T7</f>
        <v>0</v>
      </c>
      <c r="G6" s="24">
        <f>'Deployment Log'!W7</f>
        <v>0</v>
      </c>
      <c r="H6" s="24">
        <f>'Deployment Log'!X7</f>
        <v>0</v>
      </c>
      <c r="I6" s="24">
        <f>'Deployment Log'!Y7</f>
        <v>0</v>
      </c>
      <c r="J6" s="24">
        <f>'Deployment Log'!Z7</f>
        <v>0</v>
      </c>
      <c r="K6" s="36">
        <f>'Deployment Log'!N7</f>
        <v>0</v>
      </c>
      <c r="L6" s="40">
        <f>'Deployment Log'!R7</f>
        <v>0</v>
      </c>
    </row>
    <row r="7" spans="1:12" ht="20.100000000000001" customHeight="1" x14ac:dyDescent="0.25">
      <c r="A7" s="24">
        <f>'Deployment Log'!A8</f>
        <v>0</v>
      </c>
      <c r="B7" s="37">
        <f>Locations!Q8</f>
        <v>0</v>
      </c>
      <c r="C7" s="37">
        <f>Locations!R8</f>
        <v>0</v>
      </c>
      <c r="D7" s="38">
        <f>-Locations!S8</f>
        <v>0</v>
      </c>
      <c r="E7" s="24">
        <f>'Deployment Log'!S8</f>
        <v>0</v>
      </c>
      <c r="F7" s="24">
        <f>'Deployment Log'!T8</f>
        <v>0</v>
      </c>
      <c r="G7" s="24">
        <f>'Deployment Log'!W8</f>
        <v>0</v>
      </c>
      <c r="H7" s="24">
        <f>'Deployment Log'!X8</f>
        <v>0</v>
      </c>
      <c r="I7" s="24">
        <f>'Deployment Log'!Y8</f>
        <v>0</v>
      </c>
      <c r="J7" s="24">
        <f>'Deployment Log'!Z8</f>
        <v>0</v>
      </c>
      <c r="K7" s="36">
        <f>'Deployment Log'!N8</f>
        <v>0</v>
      </c>
      <c r="L7" s="40">
        <f>'Deployment Log'!R8</f>
        <v>0</v>
      </c>
    </row>
    <row r="8" spans="1:12" ht="20.100000000000001" customHeight="1" x14ac:dyDescent="0.25">
      <c r="A8" s="24">
        <f>'Deployment Log'!A9</f>
        <v>0</v>
      </c>
      <c r="B8" s="37">
        <f>Locations!Q9</f>
        <v>0</v>
      </c>
      <c r="C8" s="37">
        <f>Locations!R9</f>
        <v>0</v>
      </c>
      <c r="D8" s="38">
        <f>-Locations!S9</f>
        <v>0</v>
      </c>
      <c r="E8" s="24">
        <f>'Deployment Log'!S9</f>
        <v>0</v>
      </c>
      <c r="F8" s="24">
        <f>'Deployment Log'!T9</f>
        <v>0</v>
      </c>
      <c r="G8" s="24">
        <f>'Deployment Log'!W9</f>
        <v>0</v>
      </c>
      <c r="H8" s="24">
        <f>'Deployment Log'!X9</f>
        <v>0</v>
      </c>
      <c r="I8" s="24">
        <f>'Deployment Log'!Y9</f>
        <v>0</v>
      </c>
      <c r="J8" s="24">
        <f>'Deployment Log'!Z9</f>
        <v>0</v>
      </c>
      <c r="K8" s="36">
        <f>'Deployment Log'!N9</f>
        <v>0</v>
      </c>
      <c r="L8" s="40">
        <f>'Deployment Log'!R9</f>
        <v>0</v>
      </c>
    </row>
    <row r="9" spans="1:12" ht="20.100000000000001" customHeight="1" x14ac:dyDescent="0.25">
      <c r="A9" s="24">
        <f>'Deployment Log'!A10</f>
        <v>0</v>
      </c>
      <c r="B9" s="37">
        <f>Locations!Q10</f>
        <v>0</v>
      </c>
      <c r="C9" s="37">
        <f>Locations!R10</f>
        <v>0</v>
      </c>
      <c r="D9" s="38">
        <f>-Locations!S10</f>
        <v>0</v>
      </c>
      <c r="E9" s="24">
        <f>'Deployment Log'!S10</f>
        <v>0</v>
      </c>
      <c r="F9" s="24">
        <f>'Deployment Log'!T10</f>
        <v>0</v>
      </c>
      <c r="G9" s="24">
        <f>'Deployment Log'!W10</f>
        <v>0</v>
      </c>
      <c r="H9" s="24">
        <f>'Deployment Log'!X10</f>
        <v>0</v>
      </c>
      <c r="I9" s="24">
        <f>'Deployment Log'!Y10</f>
        <v>0</v>
      </c>
      <c r="J9" s="24">
        <f>'Deployment Log'!Z10</f>
        <v>0</v>
      </c>
      <c r="K9" s="36">
        <f>'Deployment Log'!N10</f>
        <v>0</v>
      </c>
      <c r="L9" s="40">
        <f>'Deployment Log'!R10</f>
        <v>0</v>
      </c>
    </row>
    <row r="10" spans="1:12" ht="20.100000000000001" customHeight="1" x14ac:dyDescent="0.25">
      <c r="A10" s="24">
        <f>'Deployment Log'!A11</f>
        <v>0</v>
      </c>
      <c r="B10" s="37">
        <f>Locations!Q11</f>
        <v>0</v>
      </c>
      <c r="C10" s="37">
        <f>Locations!R11</f>
        <v>0</v>
      </c>
      <c r="D10" s="38">
        <f>-Locations!S11</f>
        <v>0</v>
      </c>
      <c r="E10" s="24">
        <f>'Deployment Log'!S11</f>
        <v>0</v>
      </c>
      <c r="F10" s="24">
        <f>'Deployment Log'!T11</f>
        <v>0</v>
      </c>
      <c r="G10" s="24">
        <f>'Deployment Log'!W11</f>
        <v>0</v>
      </c>
      <c r="H10" s="24">
        <f>'Deployment Log'!X11</f>
        <v>0</v>
      </c>
      <c r="I10" s="24">
        <f>'Deployment Log'!Y11</f>
        <v>0</v>
      </c>
      <c r="J10" s="24">
        <f>'Deployment Log'!Z11</f>
        <v>0</v>
      </c>
      <c r="K10" s="36">
        <f>'Deployment Log'!N11</f>
        <v>0</v>
      </c>
      <c r="L10" s="40">
        <f>'Deployment Log'!R11</f>
        <v>0</v>
      </c>
    </row>
    <row r="11" spans="1:12" ht="20.100000000000001" customHeight="1" x14ac:dyDescent="0.25">
      <c r="A11" s="24">
        <f>'Deployment Log'!A12</f>
        <v>0</v>
      </c>
      <c r="B11" s="37">
        <f>Locations!Q12</f>
        <v>0</v>
      </c>
      <c r="C11" s="37">
        <f>Locations!R12</f>
        <v>0</v>
      </c>
      <c r="D11" s="38">
        <f>-Locations!S12</f>
        <v>0</v>
      </c>
      <c r="E11" s="24">
        <f>'Deployment Log'!S12</f>
        <v>0</v>
      </c>
      <c r="F11" s="24">
        <f>'Deployment Log'!T12</f>
        <v>0</v>
      </c>
      <c r="G11" s="24">
        <f>'Deployment Log'!W12</f>
        <v>0</v>
      </c>
      <c r="H11" s="24">
        <f>'Deployment Log'!X12</f>
        <v>0</v>
      </c>
      <c r="I11" s="24">
        <f>'Deployment Log'!Y12</f>
        <v>0</v>
      </c>
      <c r="J11" s="24">
        <f>'Deployment Log'!Z12</f>
        <v>0</v>
      </c>
      <c r="K11" s="36">
        <f>'Deployment Log'!N12</f>
        <v>0</v>
      </c>
      <c r="L11" s="40">
        <f>'Deployment Log'!R12</f>
        <v>0</v>
      </c>
    </row>
    <row r="12" spans="1:12" ht="20.100000000000001" customHeight="1" x14ac:dyDescent="0.25">
      <c r="A12" s="24">
        <f>'Deployment Log'!A13</f>
        <v>0</v>
      </c>
      <c r="B12" s="37">
        <f>Locations!Q13</f>
        <v>0</v>
      </c>
      <c r="C12" s="37">
        <f>Locations!R13</f>
        <v>0</v>
      </c>
      <c r="D12" s="38">
        <f>-Locations!S13</f>
        <v>0</v>
      </c>
      <c r="E12" s="24">
        <f>'Deployment Log'!S13</f>
        <v>0</v>
      </c>
      <c r="F12" s="24">
        <f>'Deployment Log'!T13</f>
        <v>0</v>
      </c>
      <c r="G12" s="24">
        <f>'Deployment Log'!W13</f>
        <v>0</v>
      </c>
      <c r="H12" s="24">
        <f>'Deployment Log'!X13</f>
        <v>0</v>
      </c>
      <c r="I12" s="24">
        <f>'Deployment Log'!Y13</f>
        <v>0</v>
      </c>
      <c r="J12" s="24">
        <f>'Deployment Log'!Z13</f>
        <v>0</v>
      </c>
      <c r="K12" s="36">
        <f>'Deployment Log'!N13</f>
        <v>0</v>
      </c>
      <c r="L12" s="40">
        <f>'Deployment Log'!R13</f>
        <v>0</v>
      </c>
    </row>
    <row r="13" spans="1:12" ht="20.100000000000001" customHeight="1" x14ac:dyDescent="0.25">
      <c r="A13" s="24">
        <f>'Deployment Log'!A14</f>
        <v>0</v>
      </c>
      <c r="B13" s="37">
        <f>Locations!Q14</f>
        <v>0</v>
      </c>
      <c r="C13" s="37">
        <f>Locations!R14</f>
        <v>0</v>
      </c>
      <c r="D13" s="38">
        <f>-Locations!S14</f>
        <v>0</v>
      </c>
      <c r="E13" s="24">
        <f>'Deployment Log'!S14</f>
        <v>0</v>
      </c>
      <c r="F13" s="24">
        <f>'Deployment Log'!T14</f>
        <v>0</v>
      </c>
      <c r="G13" s="24">
        <f>'Deployment Log'!W14</f>
        <v>0</v>
      </c>
      <c r="H13" s="24">
        <f>'Deployment Log'!X14</f>
        <v>0</v>
      </c>
      <c r="I13" s="24">
        <f>'Deployment Log'!Y14</f>
        <v>0</v>
      </c>
      <c r="J13" s="24">
        <f>'Deployment Log'!Z14</f>
        <v>0</v>
      </c>
      <c r="K13" s="36">
        <f>'Deployment Log'!N14</f>
        <v>0</v>
      </c>
      <c r="L13" s="40">
        <f>'Deployment Log'!R14</f>
        <v>0</v>
      </c>
    </row>
    <row r="14" spans="1:12" ht="20.100000000000001" customHeight="1" x14ac:dyDescent="0.25">
      <c r="A14" s="24">
        <f>'Deployment Log'!A15</f>
        <v>0</v>
      </c>
      <c r="B14" s="37">
        <f>Locations!Q15</f>
        <v>0</v>
      </c>
      <c r="C14" s="37">
        <f>Locations!R15</f>
        <v>0</v>
      </c>
      <c r="D14" s="38">
        <f>-Locations!S15</f>
        <v>0</v>
      </c>
      <c r="E14" s="24">
        <f>'Deployment Log'!S15</f>
        <v>0</v>
      </c>
      <c r="F14" s="24">
        <f>'Deployment Log'!T15</f>
        <v>0</v>
      </c>
      <c r="G14" s="24">
        <f>'Deployment Log'!W15</f>
        <v>0</v>
      </c>
      <c r="H14" s="24">
        <f>'Deployment Log'!X15</f>
        <v>0</v>
      </c>
      <c r="I14" s="24">
        <f>'Deployment Log'!Y15</f>
        <v>0</v>
      </c>
      <c r="J14" s="24">
        <f>'Deployment Log'!Z15</f>
        <v>0</v>
      </c>
      <c r="K14" s="36">
        <f>'Deployment Log'!N15</f>
        <v>0</v>
      </c>
      <c r="L14" s="40">
        <f>'Deployment Log'!R15</f>
        <v>0</v>
      </c>
    </row>
    <row r="15" spans="1:12" ht="20.100000000000001" customHeight="1" x14ac:dyDescent="0.25">
      <c r="A15" s="24">
        <f>'Deployment Log'!A16</f>
        <v>0</v>
      </c>
      <c r="B15" s="37">
        <f>Locations!Q16</f>
        <v>0</v>
      </c>
      <c r="C15" s="37">
        <f>Locations!R16</f>
        <v>0</v>
      </c>
      <c r="D15" s="38">
        <f>-Locations!S16</f>
        <v>0</v>
      </c>
      <c r="E15" s="24">
        <f>'Deployment Log'!S16</f>
        <v>0</v>
      </c>
      <c r="F15" s="24">
        <f>'Deployment Log'!T16</f>
        <v>0</v>
      </c>
      <c r="G15" s="24">
        <f>'Deployment Log'!W16</f>
        <v>0</v>
      </c>
      <c r="H15" s="24">
        <f>'Deployment Log'!X16</f>
        <v>0</v>
      </c>
      <c r="I15" s="24">
        <f>'Deployment Log'!Y16</f>
        <v>0</v>
      </c>
      <c r="J15" s="24">
        <f>'Deployment Log'!Z16</f>
        <v>0</v>
      </c>
      <c r="K15" s="36">
        <f>'Deployment Log'!N16</f>
        <v>0</v>
      </c>
      <c r="L15" s="40">
        <f>'Deployment Log'!R16</f>
        <v>0</v>
      </c>
    </row>
    <row r="16" spans="1:12" ht="20.100000000000001" customHeight="1" x14ac:dyDescent="0.25">
      <c r="A16" s="24">
        <f>'Deployment Log'!A17</f>
        <v>0</v>
      </c>
      <c r="B16" s="37">
        <f>Locations!Q17</f>
        <v>0</v>
      </c>
      <c r="C16" s="37">
        <f>Locations!R17</f>
        <v>0</v>
      </c>
      <c r="D16" s="38">
        <f>-Locations!S17</f>
        <v>0</v>
      </c>
      <c r="E16" s="24">
        <f>'Deployment Log'!S17</f>
        <v>0</v>
      </c>
      <c r="F16" s="24">
        <f>'Deployment Log'!T17</f>
        <v>0</v>
      </c>
      <c r="G16" s="24">
        <f>'Deployment Log'!W17</f>
        <v>0</v>
      </c>
      <c r="H16" s="24">
        <f>'Deployment Log'!X17</f>
        <v>0</v>
      </c>
      <c r="I16" s="24">
        <f>'Deployment Log'!Y17</f>
        <v>0</v>
      </c>
      <c r="J16" s="24">
        <f>'Deployment Log'!Z17</f>
        <v>0</v>
      </c>
      <c r="K16" s="36">
        <f>'Deployment Log'!N17</f>
        <v>0</v>
      </c>
      <c r="L16" s="40">
        <f>'Deployment Log'!R17</f>
        <v>0</v>
      </c>
    </row>
    <row r="17" spans="1:12" ht="20.100000000000001" customHeight="1" x14ac:dyDescent="0.25">
      <c r="A17" s="24">
        <f>'Deployment Log'!A18</f>
        <v>0</v>
      </c>
      <c r="B17" s="37">
        <f>Locations!Q18</f>
        <v>0</v>
      </c>
      <c r="C17" s="37">
        <f>Locations!R18</f>
        <v>0</v>
      </c>
      <c r="D17" s="38">
        <f>-Locations!S18</f>
        <v>0</v>
      </c>
      <c r="E17" s="24">
        <f>'Deployment Log'!S18</f>
        <v>0</v>
      </c>
      <c r="F17" s="24">
        <f>'Deployment Log'!T18</f>
        <v>0</v>
      </c>
      <c r="G17" s="24">
        <f>'Deployment Log'!W18</f>
        <v>0</v>
      </c>
      <c r="H17" s="24">
        <f>'Deployment Log'!X18</f>
        <v>0</v>
      </c>
      <c r="I17" s="24">
        <f>'Deployment Log'!Y18</f>
        <v>0</v>
      </c>
      <c r="J17" s="24">
        <f>'Deployment Log'!Z18</f>
        <v>0</v>
      </c>
      <c r="K17" s="36">
        <f>'Deployment Log'!N18</f>
        <v>0</v>
      </c>
      <c r="L17" s="40">
        <f>'Deployment Log'!R18</f>
        <v>0</v>
      </c>
    </row>
    <row r="18" spans="1:12" ht="20.100000000000001" customHeight="1" x14ac:dyDescent="0.25">
      <c r="A18" s="24">
        <f>'Deployment Log'!A19</f>
        <v>0</v>
      </c>
      <c r="B18" s="37">
        <f>Locations!Q19</f>
        <v>0</v>
      </c>
      <c r="C18" s="37">
        <f>Locations!R19</f>
        <v>0</v>
      </c>
      <c r="D18" s="38">
        <f>-Locations!S19</f>
        <v>0</v>
      </c>
      <c r="E18" s="24">
        <f>'Deployment Log'!S19</f>
        <v>0</v>
      </c>
      <c r="F18" s="24">
        <f>'Deployment Log'!T19</f>
        <v>0</v>
      </c>
      <c r="G18" s="24">
        <f>'Deployment Log'!W19</f>
        <v>0</v>
      </c>
      <c r="H18" s="24">
        <f>'Deployment Log'!X19</f>
        <v>0</v>
      </c>
      <c r="I18" s="24">
        <f>'Deployment Log'!Y19</f>
        <v>0</v>
      </c>
      <c r="J18" s="24">
        <f>'Deployment Log'!Z19</f>
        <v>0</v>
      </c>
      <c r="K18" s="36">
        <f>'Deployment Log'!N19</f>
        <v>0</v>
      </c>
      <c r="L18" s="40">
        <f>'Deployment Log'!R19</f>
        <v>0</v>
      </c>
    </row>
    <row r="19" spans="1:12" ht="20.100000000000001" customHeight="1" x14ac:dyDescent="0.25">
      <c r="A19" s="24">
        <f>'Deployment Log'!A20</f>
        <v>0</v>
      </c>
      <c r="B19" s="37">
        <f>Locations!Q20</f>
        <v>0</v>
      </c>
      <c r="C19" s="37">
        <f>Locations!R20</f>
        <v>0</v>
      </c>
      <c r="D19" s="38">
        <f>-Locations!S20</f>
        <v>0</v>
      </c>
      <c r="E19" s="24">
        <f>'Deployment Log'!S20</f>
        <v>0</v>
      </c>
      <c r="F19" s="24">
        <f>'Deployment Log'!T20</f>
        <v>0</v>
      </c>
      <c r="G19" s="24">
        <f>'Deployment Log'!W20</f>
        <v>0</v>
      </c>
      <c r="H19" s="24">
        <f>'Deployment Log'!X20</f>
        <v>0</v>
      </c>
      <c r="I19" s="24">
        <f>'Deployment Log'!Y20</f>
        <v>0</v>
      </c>
      <c r="J19" s="24">
        <f>'Deployment Log'!Z20</f>
        <v>0</v>
      </c>
      <c r="K19" s="36">
        <f>'Deployment Log'!N20</f>
        <v>0</v>
      </c>
      <c r="L19" s="40">
        <f>'Deployment Log'!R20</f>
        <v>0</v>
      </c>
    </row>
    <row r="20" spans="1:12" ht="20.100000000000001" customHeight="1" x14ac:dyDescent="0.25">
      <c r="A20" s="24">
        <f>'Deployment Log'!A21</f>
        <v>0</v>
      </c>
      <c r="B20" s="37">
        <f>Locations!Q21</f>
        <v>0</v>
      </c>
      <c r="C20" s="37">
        <f>Locations!R21</f>
        <v>0</v>
      </c>
      <c r="D20" s="38">
        <f>-Locations!S21</f>
        <v>0</v>
      </c>
      <c r="E20" s="24">
        <f>'Deployment Log'!S21</f>
        <v>0</v>
      </c>
      <c r="F20" s="24">
        <f>'Deployment Log'!T21</f>
        <v>0</v>
      </c>
      <c r="G20" s="24">
        <f>'Deployment Log'!W21</f>
        <v>0</v>
      </c>
      <c r="H20" s="24">
        <f>'Deployment Log'!X21</f>
        <v>0</v>
      </c>
      <c r="I20" s="24">
        <f>'Deployment Log'!Y21</f>
        <v>0</v>
      </c>
      <c r="J20" s="24">
        <f>'Deployment Log'!Z21</f>
        <v>0</v>
      </c>
      <c r="K20" s="36">
        <f>'Deployment Log'!N21</f>
        <v>0</v>
      </c>
      <c r="L20" s="40">
        <f>'Deployment Log'!R21</f>
        <v>0</v>
      </c>
    </row>
    <row r="21" spans="1:12" ht="20.100000000000001" customHeight="1" x14ac:dyDescent="0.25">
      <c r="A21" s="24">
        <f>'Deployment Log'!A22</f>
        <v>0</v>
      </c>
      <c r="B21" s="37">
        <f>Locations!Q22</f>
        <v>0</v>
      </c>
      <c r="C21" s="37">
        <f>Locations!R22</f>
        <v>0</v>
      </c>
      <c r="D21" s="38">
        <f>-Locations!S22</f>
        <v>0</v>
      </c>
      <c r="E21" s="24">
        <f>'Deployment Log'!S22</f>
        <v>0</v>
      </c>
      <c r="F21" s="24">
        <f>'Deployment Log'!T22</f>
        <v>0</v>
      </c>
      <c r="G21" s="24">
        <f>'Deployment Log'!W22</f>
        <v>0</v>
      </c>
      <c r="H21" s="24">
        <f>'Deployment Log'!X22</f>
        <v>0</v>
      </c>
      <c r="I21" s="24">
        <f>'Deployment Log'!Y22</f>
        <v>0</v>
      </c>
      <c r="J21" s="24">
        <f>'Deployment Log'!Z22</f>
        <v>0</v>
      </c>
      <c r="K21" s="36">
        <f>'Deployment Log'!N22</f>
        <v>0</v>
      </c>
      <c r="L21" s="40">
        <f>'Deployment Log'!R22</f>
        <v>0</v>
      </c>
    </row>
    <row r="23" spans="1:12" x14ac:dyDescent="0.25">
      <c r="A23" t="s">
        <v>188</v>
      </c>
    </row>
  </sheetData>
  <mergeCells count="6">
    <mergeCell ref="K1:L1"/>
    <mergeCell ref="B1:D1"/>
    <mergeCell ref="A1:A2"/>
    <mergeCell ref="E1:F1"/>
    <mergeCell ref="G1:H1"/>
    <mergeCell ref="I1:J1"/>
  </mergeCells>
  <pageMargins left="0.7" right="0.7" top="0.75" bottom="0.75" header="0.3" footer="0.3"/>
  <pageSetup scale="8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8A3B-60E2-4FD9-9FE9-8DFC2E7132D6}">
  <sheetPr>
    <pageSetUpPr fitToPage="1"/>
  </sheetPr>
  <dimension ref="A1:G26"/>
  <sheetViews>
    <sheetView workbookViewId="0">
      <selection activeCell="A5" sqref="A5:D24"/>
    </sheetView>
  </sheetViews>
  <sheetFormatPr defaultColWidth="9.140625" defaultRowHeight="15" x14ac:dyDescent="0.25"/>
  <cols>
    <col min="1" max="1" width="12.85546875" style="4" customWidth="1"/>
    <col min="2" max="2" width="14.28515625" style="4" customWidth="1"/>
    <col min="3" max="3" width="16.5703125" style="4" customWidth="1"/>
    <col min="4" max="4" width="13.140625" style="4" customWidth="1"/>
    <col min="5" max="5" width="15.140625" style="4" customWidth="1"/>
    <col min="6" max="16384" width="9.140625" style="4"/>
  </cols>
  <sheetData>
    <row r="1" spans="1:7" ht="20.100000000000001" customHeight="1" x14ac:dyDescent="0.25">
      <c r="A1" s="64" t="s">
        <v>140</v>
      </c>
      <c r="B1" s="64"/>
      <c r="C1" s="64"/>
      <c r="D1" s="64"/>
      <c r="E1" s="64"/>
      <c r="F1" s="64"/>
      <c r="G1" s="64"/>
    </row>
    <row r="2" spans="1:7" ht="20.100000000000001" customHeight="1" x14ac:dyDescent="0.25"/>
    <row r="3" spans="1:7" s="1" customFormat="1" ht="20.100000000000001" customHeight="1" x14ac:dyDescent="0.25">
      <c r="A3" s="72" t="s">
        <v>1</v>
      </c>
      <c r="B3" s="72"/>
      <c r="C3" s="72"/>
      <c r="D3" s="72"/>
      <c r="F3" s="64" t="s">
        <v>26</v>
      </c>
      <c r="G3" s="64"/>
    </row>
    <row r="4" spans="1:7" s="1" customFormat="1" ht="20.100000000000001" customHeight="1" thickBot="1" x14ac:dyDescent="0.3">
      <c r="A4" s="14" t="s">
        <v>8</v>
      </c>
      <c r="B4" s="14" t="s">
        <v>9</v>
      </c>
      <c r="C4" s="14" t="s">
        <v>136</v>
      </c>
      <c r="D4" s="14" t="s">
        <v>137</v>
      </c>
      <c r="F4" s="14" t="s">
        <v>138</v>
      </c>
      <c r="G4" s="14" t="s">
        <v>139</v>
      </c>
    </row>
    <row r="5" spans="1:7" s="25" customFormat="1" ht="20.100000000000001" customHeight="1" x14ac:dyDescent="0.25">
      <c r="A5" s="24"/>
      <c r="B5" s="24"/>
      <c r="C5" s="24"/>
      <c r="D5" s="24"/>
      <c r="F5" s="24"/>
      <c r="G5" s="24"/>
    </row>
    <row r="6" spans="1:7" s="25" customFormat="1" ht="20.100000000000001" customHeight="1" x14ac:dyDescent="0.25">
      <c r="A6" s="26"/>
      <c r="B6" s="26"/>
      <c r="C6" s="26"/>
      <c r="D6" s="26"/>
      <c r="F6" s="26"/>
      <c r="G6" s="26"/>
    </row>
    <row r="7" spans="1:7" s="25" customFormat="1" ht="20.100000000000001" customHeight="1" x14ac:dyDescent="0.25">
      <c r="A7" s="26"/>
      <c r="B7" s="26"/>
      <c r="C7" s="26"/>
      <c r="D7" s="26"/>
      <c r="F7" s="13"/>
      <c r="G7" s="26"/>
    </row>
    <row r="8" spans="1:7" s="25" customFormat="1" ht="20.100000000000001" customHeight="1" x14ac:dyDescent="0.25">
      <c r="A8" s="26"/>
      <c r="B8" s="26"/>
      <c r="C8" s="26"/>
      <c r="D8" s="26"/>
      <c r="F8" s="13"/>
      <c r="G8" s="26"/>
    </row>
    <row r="9" spans="1:7" s="25" customFormat="1" ht="20.100000000000001" customHeight="1" x14ac:dyDescent="0.25">
      <c r="A9" s="26"/>
      <c r="B9" s="26"/>
      <c r="C9" s="26"/>
      <c r="D9" s="26"/>
      <c r="F9" s="26"/>
      <c r="G9" s="26"/>
    </row>
    <row r="10" spans="1:7" s="25" customFormat="1" ht="20.100000000000001" customHeight="1" x14ac:dyDescent="0.25">
      <c r="A10" s="26"/>
      <c r="B10" s="26"/>
      <c r="C10" s="26"/>
      <c r="D10" s="26"/>
      <c r="F10" s="26"/>
      <c r="G10" s="26"/>
    </row>
    <row r="11" spans="1:7" s="25" customFormat="1" ht="20.100000000000001" customHeight="1" x14ac:dyDescent="0.25">
      <c r="A11" s="26"/>
      <c r="B11" s="26"/>
      <c r="C11" s="26"/>
      <c r="D11" s="26"/>
      <c r="F11" s="26"/>
      <c r="G11" s="13"/>
    </row>
    <row r="12" spans="1:7" s="25" customFormat="1" ht="20.100000000000001" customHeight="1" x14ac:dyDescent="0.25">
      <c r="A12" s="26"/>
      <c r="B12" s="26"/>
      <c r="C12" s="26"/>
      <c r="D12" s="26"/>
      <c r="F12" s="26"/>
      <c r="G12" s="13"/>
    </row>
    <row r="13" spans="1:7" s="25" customFormat="1" ht="20.100000000000001" customHeight="1" x14ac:dyDescent="0.25">
      <c r="A13" s="26"/>
      <c r="B13" s="26"/>
      <c r="C13" s="26"/>
      <c r="D13" s="26"/>
      <c r="F13" s="26"/>
      <c r="G13" s="26"/>
    </row>
    <row r="14" spans="1:7" s="25" customFormat="1" ht="20.100000000000001" customHeight="1" x14ac:dyDescent="0.25">
      <c r="A14" s="26"/>
      <c r="B14" s="26"/>
      <c r="C14" s="26"/>
      <c r="D14" s="26"/>
      <c r="F14" s="26"/>
      <c r="G14" s="26"/>
    </row>
    <row r="15" spans="1:7" s="25" customFormat="1" ht="20.100000000000001" customHeight="1" x14ac:dyDescent="0.25">
      <c r="A15" s="26"/>
      <c r="B15" s="26"/>
      <c r="C15" s="26"/>
      <c r="D15" s="26"/>
      <c r="F15" s="26"/>
      <c r="G15" s="26"/>
    </row>
    <row r="16" spans="1:7" s="25" customFormat="1" ht="20.100000000000001" customHeight="1" x14ac:dyDescent="0.25">
      <c r="A16" s="26"/>
      <c r="B16" s="26"/>
      <c r="C16" s="26"/>
      <c r="D16" s="26"/>
      <c r="F16" s="26"/>
      <c r="G16" s="26"/>
    </row>
    <row r="17" spans="1:7" s="25" customFormat="1" ht="20.100000000000001" customHeight="1" x14ac:dyDescent="0.25">
      <c r="A17" s="26"/>
      <c r="B17" s="26"/>
      <c r="C17" s="26"/>
      <c r="D17" s="26"/>
      <c r="F17" s="26"/>
      <c r="G17" s="26"/>
    </row>
    <row r="18" spans="1:7" s="25" customFormat="1" ht="20.100000000000001" customHeight="1" x14ac:dyDescent="0.25">
      <c r="A18" s="26"/>
      <c r="B18" s="26"/>
      <c r="C18" s="26"/>
      <c r="D18" s="26"/>
      <c r="F18" s="26"/>
      <c r="G18" s="26"/>
    </row>
    <row r="19" spans="1:7" s="25" customFormat="1" ht="20.100000000000001" customHeight="1" x14ac:dyDescent="0.25">
      <c r="A19" s="26"/>
      <c r="B19" s="26"/>
      <c r="C19" s="26"/>
      <c r="D19" s="26"/>
      <c r="F19" s="26"/>
      <c r="G19" s="26"/>
    </row>
    <row r="20" spans="1:7" s="25" customFormat="1" ht="20.100000000000001" customHeight="1" x14ac:dyDescent="0.25">
      <c r="A20" s="26"/>
      <c r="B20" s="26"/>
      <c r="C20" s="26"/>
      <c r="D20" s="26"/>
      <c r="F20" s="26"/>
      <c r="G20" s="26"/>
    </row>
    <row r="21" spans="1:7" s="25" customFormat="1" ht="20.100000000000001" customHeight="1" x14ac:dyDescent="0.25">
      <c r="A21" s="26"/>
      <c r="B21" s="26"/>
      <c r="C21" s="26"/>
      <c r="D21" s="26"/>
      <c r="F21" s="26"/>
      <c r="G21" s="26"/>
    </row>
    <row r="22" spans="1:7" s="25" customFormat="1" ht="20.100000000000001" customHeight="1" x14ac:dyDescent="0.25">
      <c r="A22" s="26"/>
      <c r="B22" s="26"/>
      <c r="C22" s="26"/>
      <c r="D22" s="26"/>
      <c r="F22" s="26"/>
      <c r="G22" s="26"/>
    </row>
    <row r="23" spans="1:7" s="25" customFormat="1" ht="20.100000000000001" customHeight="1" x14ac:dyDescent="0.25">
      <c r="A23" s="26"/>
      <c r="B23" s="26"/>
      <c r="C23" s="26"/>
      <c r="D23" s="26"/>
      <c r="F23" s="26"/>
      <c r="G23" s="26"/>
    </row>
    <row r="24" spans="1:7" s="25" customFormat="1" ht="20.100000000000001" customHeight="1" x14ac:dyDescent="0.25">
      <c r="A24" s="26"/>
      <c r="B24" s="26"/>
      <c r="C24" s="26"/>
      <c r="D24" s="26"/>
      <c r="F24" s="26"/>
      <c r="G24" s="26"/>
    </row>
    <row r="25" spans="1:7" ht="20.100000000000001" customHeight="1" x14ac:dyDescent="0.25">
      <c r="F25" s="26"/>
      <c r="G25" s="26"/>
    </row>
    <row r="26" spans="1:7" ht="20.100000000000001" customHeight="1" x14ac:dyDescent="0.25">
      <c r="F26" s="26"/>
      <c r="G26" s="26"/>
    </row>
  </sheetData>
  <sortState xmlns:xlrd2="http://schemas.microsoft.com/office/spreadsheetml/2017/richdata2" ref="G5:G26">
    <sortCondition ref="G5:G26"/>
  </sortState>
  <mergeCells count="3">
    <mergeCell ref="A3:D3"/>
    <mergeCell ref="F3:G3"/>
    <mergeCell ref="A1:G1"/>
  </mergeCells>
  <pageMargins left="0.7" right="0.7" top="0.75" bottom="0.75" header="0.3" footer="0.3"/>
  <pageSetup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58D1-60D3-4B96-8F8B-DCCC58710E9A}">
  <dimension ref="A1:AQ2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defaultRowHeight="15" x14ac:dyDescent="0.25"/>
  <cols>
    <col min="2" max="2" width="9.5703125" bestFit="1" customWidth="1"/>
    <col min="3" max="4" width="9.5703125" customWidth="1"/>
    <col min="5" max="5" width="9.140625" style="56"/>
    <col min="18" max="19" width="12" style="4" bestFit="1" customWidth="1"/>
    <col min="20" max="20" width="10.85546875" customWidth="1"/>
    <col min="23" max="23" width="9.5703125" style="57" bestFit="1" customWidth="1"/>
    <col min="43" max="43" width="13.5703125" customWidth="1"/>
  </cols>
  <sheetData>
    <row r="1" spans="1:43" s="33" customFormat="1" x14ac:dyDescent="0.25">
      <c r="E1" s="73" t="s">
        <v>168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  <c r="X1" s="74" t="s">
        <v>169</v>
      </c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33" t="s">
        <v>170</v>
      </c>
    </row>
    <row r="2" spans="1:43" x14ac:dyDescent="0.25">
      <c r="A2" s="64" t="s">
        <v>66</v>
      </c>
      <c r="B2" s="64" t="s">
        <v>1</v>
      </c>
      <c r="C2" s="64" t="s">
        <v>171</v>
      </c>
      <c r="D2" s="77"/>
      <c r="E2" s="78" t="s">
        <v>172</v>
      </c>
      <c r="F2" s="64"/>
      <c r="G2" s="64"/>
      <c r="H2" s="64" t="s">
        <v>173</v>
      </c>
      <c r="I2" s="64"/>
      <c r="J2" s="64"/>
      <c r="K2" s="64" t="s">
        <v>174</v>
      </c>
      <c r="L2" s="64"/>
      <c r="M2" s="64"/>
      <c r="N2" s="64" t="s">
        <v>175</v>
      </c>
      <c r="O2" s="64"/>
      <c r="P2" s="64"/>
      <c r="Q2" s="66" t="s">
        <v>176</v>
      </c>
      <c r="R2" s="66" t="s">
        <v>177</v>
      </c>
      <c r="S2" s="64" t="s">
        <v>178</v>
      </c>
      <c r="T2" s="64"/>
      <c r="U2" s="64" t="s">
        <v>179</v>
      </c>
      <c r="V2" s="64"/>
      <c r="W2" s="77"/>
      <c r="X2" s="64" t="s">
        <v>172</v>
      </c>
      <c r="Y2" s="64"/>
      <c r="Z2" s="64"/>
      <c r="AA2" s="64" t="s">
        <v>173</v>
      </c>
      <c r="AB2" s="64"/>
      <c r="AC2" s="64"/>
      <c r="AD2" s="64" t="s">
        <v>174</v>
      </c>
      <c r="AE2" s="64"/>
      <c r="AF2" s="64"/>
      <c r="AG2" s="64" t="s">
        <v>175</v>
      </c>
      <c r="AH2" s="64"/>
      <c r="AI2" s="64"/>
      <c r="AJ2" s="66" t="s">
        <v>176</v>
      </c>
      <c r="AK2" s="66" t="s">
        <v>177</v>
      </c>
      <c r="AL2" s="64" t="s">
        <v>178</v>
      </c>
      <c r="AM2" s="64"/>
      <c r="AN2" s="64" t="s">
        <v>179</v>
      </c>
      <c r="AO2" s="64"/>
      <c r="AP2" s="64"/>
      <c r="AQ2" s="79" t="s">
        <v>180</v>
      </c>
    </row>
    <row r="3" spans="1:43" ht="15.75" thickBot="1" x14ac:dyDescent="0.3">
      <c r="A3" s="76"/>
      <c r="B3" s="76"/>
      <c r="C3" s="2" t="s">
        <v>181</v>
      </c>
      <c r="D3" s="2" t="s">
        <v>182</v>
      </c>
      <c r="E3" s="50" t="s">
        <v>57</v>
      </c>
      <c r="F3" s="2" t="s">
        <v>58</v>
      </c>
      <c r="G3" s="2" t="s">
        <v>59</v>
      </c>
      <c r="H3" s="2" t="s">
        <v>57</v>
      </c>
      <c r="I3" s="2" t="s">
        <v>58</v>
      </c>
      <c r="J3" s="2" t="s">
        <v>59</v>
      </c>
      <c r="K3" s="2" t="s">
        <v>57</v>
      </c>
      <c r="L3" s="2" t="s">
        <v>58</v>
      </c>
      <c r="M3" s="2" t="s">
        <v>59</v>
      </c>
      <c r="N3" s="2" t="s">
        <v>57</v>
      </c>
      <c r="O3" s="2" t="s">
        <v>58</v>
      </c>
      <c r="P3" s="2" t="s">
        <v>59</v>
      </c>
      <c r="Q3" s="67"/>
      <c r="R3" s="67"/>
      <c r="S3" s="2" t="s">
        <v>149</v>
      </c>
      <c r="T3" s="2" t="s">
        <v>183</v>
      </c>
      <c r="U3" s="2" t="s">
        <v>184</v>
      </c>
      <c r="V3" s="2" t="s">
        <v>185</v>
      </c>
      <c r="W3" s="51" t="s">
        <v>186</v>
      </c>
      <c r="X3" s="2" t="s">
        <v>57</v>
      </c>
      <c r="Y3" s="2" t="s">
        <v>58</v>
      </c>
      <c r="Z3" s="2" t="s">
        <v>59</v>
      </c>
      <c r="AA3" s="2" t="s">
        <v>57</v>
      </c>
      <c r="AB3" s="2" t="s">
        <v>58</v>
      </c>
      <c r="AC3" s="2" t="s">
        <v>59</v>
      </c>
      <c r="AD3" s="2" t="s">
        <v>57</v>
      </c>
      <c r="AE3" s="2" t="s">
        <v>58</v>
      </c>
      <c r="AF3" s="2" t="s">
        <v>59</v>
      </c>
      <c r="AG3" s="2" t="s">
        <v>57</v>
      </c>
      <c r="AH3" s="2" t="s">
        <v>58</v>
      </c>
      <c r="AI3" s="2" t="s">
        <v>59</v>
      </c>
      <c r="AJ3" s="67"/>
      <c r="AK3" s="67"/>
      <c r="AL3" s="2" t="s">
        <v>149</v>
      </c>
      <c r="AM3" s="2" t="s">
        <v>183</v>
      </c>
      <c r="AN3" s="2" t="s">
        <v>184</v>
      </c>
      <c r="AO3" s="2" t="s">
        <v>185</v>
      </c>
      <c r="AP3" s="2" t="s">
        <v>186</v>
      </c>
      <c r="AQ3" s="79"/>
    </row>
    <row r="4" spans="1:43" x14ac:dyDescent="0.25">
      <c r="A4" s="4">
        <f>'Recovery Log'!A4</f>
        <v>0</v>
      </c>
      <c r="B4" s="4" t="str">
        <f>'Recovery Log'!F4</f>
        <v/>
      </c>
      <c r="C4" s="25">
        <v>1671.0949900000001</v>
      </c>
      <c r="D4" s="25">
        <v>0.16</v>
      </c>
      <c r="E4" s="52">
        <f>'Deployment Log'!AF4</f>
        <v>0</v>
      </c>
      <c r="F4" s="4">
        <f>'Deployment Log'!AG4</f>
        <v>0</v>
      </c>
      <c r="G4" s="4">
        <f>'Deployment Log'!AH4</f>
        <v>0</v>
      </c>
      <c r="H4" s="4">
        <f>'Deployment Log'!AI4</f>
        <v>0</v>
      </c>
      <c r="I4" s="4">
        <f>'Deployment Log'!AJ4</f>
        <v>0</v>
      </c>
      <c r="J4" s="4">
        <f>'Deployment Log'!AK4</f>
        <v>0</v>
      </c>
      <c r="K4" s="4">
        <f>IF(ISNUMBER(E4),E4/$C4,"n/a")</f>
        <v>0</v>
      </c>
      <c r="L4" s="4">
        <f t="shared" ref="L4:M4" si="0">IF(ISNUMBER(F4),F4/$C4,"n/a")</f>
        <v>0</v>
      </c>
      <c r="M4" s="4">
        <f t="shared" si="0"/>
        <v>0</v>
      </c>
      <c r="N4" s="4">
        <f>IF(ISNUMBER(H4),1000000000*H4*$D4/10000000,"n/a")</f>
        <v>0</v>
      </c>
      <c r="O4" s="4">
        <f t="shared" ref="O4:P4" si="1">IF(ISNUMBER(I4),1000000000*I4*$D4/10000000,"n/a")</f>
        <v>0</v>
      </c>
      <c r="P4" s="4">
        <f t="shared" si="1"/>
        <v>0</v>
      </c>
      <c r="Q4" s="18" t="e">
        <f t="shared" ref="Q4:Q8" si="2">IF(ISNUMBER(E4),DEGREES(ATAN2(E4,SQRT(F4^2 + G4^2))),"n/a")</f>
        <v>#DIV/0!</v>
      </c>
      <c r="R4" s="18" t="e">
        <f>IF(ISNUMBER(F4),DEGREES(ATAN2(F4,G4))+180,"n/a")</f>
        <v>#DIV/0!</v>
      </c>
      <c r="S4" s="4" t="e">
        <f>IF(ISNUMBER(I4),DEGREES(ATAN2(I4,J4))+IF(DEGREES(ATAN2(I4,J4))&lt;0,360,0),"n/a")</f>
        <v>#DIV/0!</v>
      </c>
      <c r="T4" s="4" t="e">
        <f>IF(ISNUMBER(H4),DEGREES(ATAN2(SQRT(I4^2 + J4^2),H4)),"n/a")</f>
        <v>#DIV/0!</v>
      </c>
      <c r="U4" s="18">
        <f>IF(ISNUMBER(N4),SQRT(N4^2 + O4^2 + P4^2)/1000,"n/a")</f>
        <v>0</v>
      </c>
      <c r="V4" s="18">
        <f>IF(ISNUMBER(N4),N4/1000,"n/a")</f>
        <v>0</v>
      </c>
      <c r="W4" s="53">
        <f>IF(ISNUMBER(O4),SQRT(O4^2 + P4^2)/1000,"n/a")</f>
        <v>0</v>
      </c>
      <c r="X4" s="4">
        <f>'Recovery Log'!P4</f>
        <v>0</v>
      </c>
      <c r="Y4" s="4">
        <f>'Recovery Log'!Q4</f>
        <v>0</v>
      </c>
      <c r="Z4" s="4">
        <f>'Recovery Log'!R4</f>
        <v>0</v>
      </c>
      <c r="AA4" s="4">
        <f>'Recovery Log'!S4</f>
        <v>0</v>
      </c>
      <c r="AB4" s="4">
        <f>'Recovery Log'!T4</f>
        <v>0</v>
      </c>
      <c r="AC4" s="4">
        <f>'Recovery Log'!U4</f>
        <v>0</v>
      </c>
      <c r="AD4" s="4">
        <f>IF(ISNUMBER(X4),X4/$C4,"n/a")</f>
        <v>0</v>
      </c>
      <c r="AE4" s="4">
        <f t="shared" ref="AE4:AF4" si="3">IF(ISNUMBER(Y4),Y4/$C4,"n/a")</f>
        <v>0</v>
      </c>
      <c r="AF4" s="4">
        <f t="shared" si="3"/>
        <v>0</v>
      </c>
      <c r="AG4" s="4">
        <f>IF(ISNUMBER(AA4),1000000000*AA4*$D4/10000000,"n/a")</f>
        <v>0</v>
      </c>
      <c r="AH4" s="4">
        <f t="shared" ref="AH4:AI4" si="4">IF(ISNUMBER(AB4),1000000000*AB4*$D4/10000000,"n/a")</f>
        <v>0</v>
      </c>
      <c r="AI4" s="4">
        <f t="shared" si="4"/>
        <v>0</v>
      </c>
      <c r="AJ4" s="4" t="e">
        <f t="shared" ref="AJ4" si="5">IF(ISNUMBER(X4),DEGREES(ATAN2(X4,SQRT(Y4^2 + Z4^2))),"n/a")</f>
        <v>#DIV/0!</v>
      </c>
      <c r="AK4" s="4" t="e">
        <f>IF(ISNUMBER(Y4),DEGREES(ATAN2(Y4,Z4))+180,"n/a")</f>
        <v>#DIV/0!</v>
      </c>
      <c r="AL4" s="4" t="e">
        <f>IF(ISNUMBER(AB4),DEGREES(ATAN2(AB4,AC4))+IF(DEGREES(ATAN2(AB4,AC4))&lt;0,360,0),"n/a")</f>
        <v>#DIV/0!</v>
      </c>
      <c r="AM4" s="4" t="e">
        <f>IF(ISNUMBER(AA4),DEGREES(ATAN2(SQRT(AB4^2 + AC4^2),AA4)),"n/a")</f>
        <v>#DIV/0!</v>
      </c>
      <c r="AN4" s="18">
        <f>IF(ISNUMBER(AG4),SQRT(AG4^2 + AH4^2 + AI4^2)/1000,"n/a")</f>
        <v>0</v>
      </c>
      <c r="AO4" s="18">
        <f>IF(ISNUMBER(AG4),AG4/1000,"n/a")</f>
        <v>0</v>
      </c>
      <c r="AP4" s="53">
        <f>IF(ISNUMBER(AH4),SQRT(AH4^2 + AI4^2)/1000,"n/a")</f>
        <v>0</v>
      </c>
      <c r="AQ4" t="e">
        <f>DEGREES(ACOS((E4*X4+F4*Y4+G4*Z4)/(SQRT(E4^2 + F4^2 + G4^2) * SQRT(X4^2 + Y4^2 + Z4^2))))</f>
        <v>#DIV/0!</v>
      </c>
    </row>
    <row r="5" spans="1:43" x14ac:dyDescent="0.25">
      <c r="A5" s="4">
        <f>'Recovery Log'!A5</f>
        <v>0</v>
      </c>
      <c r="B5" s="4" t="str">
        <f>'Recovery Log'!F5</f>
        <v/>
      </c>
      <c r="C5" s="25">
        <v>1671.0949900000001</v>
      </c>
      <c r="D5" s="25">
        <v>0.16</v>
      </c>
      <c r="E5" s="52">
        <f>'Deployment Log'!AF5</f>
        <v>0</v>
      </c>
      <c r="F5" s="4">
        <f>'Deployment Log'!AG5</f>
        <v>0</v>
      </c>
      <c r="G5" s="4">
        <f>'Deployment Log'!AH5</f>
        <v>0</v>
      </c>
      <c r="H5" s="4">
        <f>'Deployment Log'!AI5</f>
        <v>0</v>
      </c>
      <c r="I5" s="4">
        <f>'Deployment Log'!AJ5</f>
        <v>0</v>
      </c>
      <c r="J5" s="4">
        <f>'Deployment Log'!AK5</f>
        <v>0</v>
      </c>
      <c r="K5" s="4">
        <f t="shared" ref="K5:K22" si="6">IF(ISNUMBER(E5),E5/$C5,"n/a")</f>
        <v>0</v>
      </c>
      <c r="L5" s="4">
        <f t="shared" ref="L5:L22" si="7">IF(ISNUMBER(F5),F5/$C5,"n/a")</f>
        <v>0</v>
      </c>
      <c r="M5" s="4">
        <f t="shared" ref="M5:M22" si="8">IF(ISNUMBER(G5),G5/$C5,"n/a")</f>
        <v>0</v>
      </c>
      <c r="N5" s="4">
        <f t="shared" ref="N5:N22" si="9">IF(ISNUMBER(H5),1000000000*H5*$D5/10000000,"n/a")</f>
        <v>0</v>
      </c>
      <c r="O5" s="4">
        <f t="shared" ref="O5:O22" si="10">IF(ISNUMBER(I5),1000000000*I5*$D5/10000000,"n/a")</f>
        <v>0</v>
      </c>
      <c r="P5" s="4">
        <f t="shared" ref="P5:P22" si="11">IF(ISNUMBER(J5),1000000000*J5*$D5/10000000,"n/a")</f>
        <v>0</v>
      </c>
      <c r="Q5" s="18" t="e">
        <f t="shared" si="2"/>
        <v>#DIV/0!</v>
      </c>
      <c r="R5" s="18" t="e">
        <f t="shared" ref="R5:R22" si="12">IF(ISNUMBER(F5),DEGREES(ATAN2(F5,G5))+180,"n/a")</f>
        <v>#DIV/0!</v>
      </c>
      <c r="S5" s="4" t="e">
        <f t="shared" ref="S5:S22" si="13">IF(ISNUMBER(I5),DEGREES(ATAN2(I5,J5))+IF(DEGREES(ATAN2(I5,J5))&lt;0,360,0),"n/a")</f>
        <v>#DIV/0!</v>
      </c>
      <c r="T5" s="4" t="e">
        <f t="shared" ref="T5:T22" si="14">IF(ISNUMBER(H5),DEGREES(ATAN2(SQRT(I5^2 + J5^2),H5)),"n/a")</f>
        <v>#DIV/0!</v>
      </c>
      <c r="U5" s="18">
        <f t="shared" ref="U5:U22" si="15">IF(ISNUMBER(N5),SQRT(N5^2 + O5^2 + P5^2)/1000,"n/a")</f>
        <v>0</v>
      </c>
      <c r="V5" s="18">
        <f t="shared" ref="V5:V22" si="16">IF(ISNUMBER(N5),N5/1000,"n/a")</f>
        <v>0</v>
      </c>
      <c r="W5" s="53">
        <f t="shared" ref="W5:W22" si="17">IF(ISNUMBER(O5),SQRT(O5^2 + P5^2)/1000,"n/a")</f>
        <v>0</v>
      </c>
      <c r="X5" s="4">
        <f>'Recovery Log'!P5</f>
        <v>0</v>
      </c>
      <c r="Y5" s="4">
        <f>'Recovery Log'!Q5</f>
        <v>0</v>
      </c>
      <c r="Z5" s="4">
        <f>'Recovery Log'!R5</f>
        <v>0</v>
      </c>
      <c r="AA5" s="4">
        <f>'Recovery Log'!S5</f>
        <v>0</v>
      </c>
      <c r="AB5" s="4">
        <f>'Recovery Log'!T5</f>
        <v>0</v>
      </c>
      <c r="AC5" s="4">
        <f>'Recovery Log'!U5</f>
        <v>0</v>
      </c>
      <c r="AD5" s="4">
        <f t="shared" ref="AD5:AD22" si="18">IF(ISNUMBER(X5),X5/$C5,"n/a")</f>
        <v>0</v>
      </c>
      <c r="AE5" s="4">
        <f t="shared" ref="AE5:AE22" si="19">IF(ISNUMBER(Y5),Y5/$C5,"n/a")</f>
        <v>0</v>
      </c>
      <c r="AF5" s="4">
        <f t="shared" ref="AF5:AF22" si="20">IF(ISNUMBER(Z5),Z5/$C5,"n/a")</f>
        <v>0</v>
      </c>
      <c r="AG5" s="4">
        <f t="shared" ref="AG5:AG22" si="21">IF(ISNUMBER(AA5),1000000000*AA5*$D5/10000000,"n/a")</f>
        <v>0</v>
      </c>
      <c r="AH5" s="4">
        <f t="shared" ref="AH5:AH22" si="22">IF(ISNUMBER(AB5),1000000000*AB5*$D5/10000000,"n/a")</f>
        <v>0</v>
      </c>
      <c r="AI5" s="4">
        <f t="shared" ref="AI5:AI22" si="23">IF(ISNUMBER(AC5),1000000000*AC5*$D5/10000000,"n/a")</f>
        <v>0</v>
      </c>
      <c r="AJ5" s="4" t="e">
        <f t="shared" ref="AJ5:AJ22" si="24">IF(ISNUMBER(X5),DEGREES(ATAN2(X5,SQRT(Y5^2 + Z5^2))),"n/a")</f>
        <v>#DIV/0!</v>
      </c>
      <c r="AK5" s="4" t="e">
        <f t="shared" ref="AK5:AK22" si="25">IF(ISNUMBER(Y5),DEGREES(ATAN2(Y5,Z5))+180,"n/a")</f>
        <v>#DIV/0!</v>
      </c>
      <c r="AL5" s="4" t="e">
        <f t="shared" ref="AL5:AL22" si="26">IF(ISNUMBER(AB5),DEGREES(ATAN2(AB5,AC5))+IF(DEGREES(ATAN2(AB5,AC5))&lt;0,360,0),"n/a")</f>
        <v>#DIV/0!</v>
      </c>
      <c r="AM5" s="4" t="e">
        <f t="shared" ref="AM5:AM22" si="27">IF(ISNUMBER(AA5),DEGREES(ATAN2(SQRT(AB5^2 + AC5^2),AA5)),"n/a")</f>
        <v>#DIV/0!</v>
      </c>
      <c r="AN5" s="18">
        <f t="shared" ref="AN5:AN22" si="28">IF(ISNUMBER(AG5),SQRT(AG5^2 + AH5^2 + AI5^2)/1000,"n/a")</f>
        <v>0</v>
      </c>
      <c r="AO5" s="18">
        <f t="shared" ref="AO5:AO22" si="29">IF(ISNUMBER(AG5),AG5/1000,"n/a")</f>
        <v>0</v>
      </c>
      <c r="AP5" s="53">
        <f t="shared" ref="AP5:AP22" si="30">IF(ISNUMBER(AH5),SQRT(AH5^2 + AI5^2)/1000,"n/a")</f>
        <v>0</v>
      </c>
      <c r="AQ5" t="e">
        <f t="shared" ref="AQ5:AQ22" si="31">DEGREES(ACOS((E5*X5+F5*Y5+G5*Z5)/(SQRT(E5^2 + F5^2 + G5^2) * SQRT(X5^2 + Y5^2 + Z5^2))))</f>
        <v>#DIV/0!</v>
      </c>
    </row>
    <row r="6" spans="1:43" x14ac:dyDescent="0.25">
      <c r="A6" s="4">
        <f>'Recovery Log'!A6</f>
        <v>0</v>
      </c>
      <c r="B6" s="4" t="str">
        <f>'Recovery Log'!F6</f>
        <v/>
      </c>
      <c r="C6" s="25">
        <v>1671.0949900000001</v>
      </c>
      <c r="D6" s="25">
        <v>0.16</v>
      </c>
      <c r="E6" s="52">
        <f>'Deployment Log'!AF6</f>
        <v>0</v>
      </c>
      <c r="F6" s="4">
        <f>'Deployment Log'!AG6</f>
        <v>0</v>
      </c>
      <c r="G6" s="4">
        <f>'Deployment Log'!AH6</f>
        <v>0</v>
      </c>
      <c r="H6" s="4">
        <f>'Deployment Log'!AI6</f>
        <v>0</v>
      </c>
      <c r="I6" s="4">
        <f>'Deployment Log'!AJ6</f>
        <v>0</v>
      </c>
      <c r="J6" s="4">
        <f>'Deployment Log'!AK6</f>
        <v>0</v>
      </c>
      <c r="K6" s="4">
        <f t="shared" si="6"/>
        <v>0</v>
      </c>
      <c r="L6" s="4">
        <f t="shared" si="7"/>
        <v>0</v>
      </c>
      <c r="M6" s="4">
        <f t="shared" si="8"/>
        <v>0</v>
      </c>
      <c r="N6" s="4">
        <f t="shared" si="9"/>
        <v>0</v>
      </c>
      <c r="O6" s="4">
        <f t="shared" si="10"/>
        <v>0</v>
      </c>
      <c r="P6" s="4">
        <f t="shared" si="11"/>
        <v>0</v>
      </c>
      <c r="Q6" s="18" t="e">
        <f t="shared" si="2"/>
        <v>#DIV/0!</v>
      </c>
      <c r="R6" s="18" t="e">
        <f t="shared" si="12"/>
        <v>#DIV/0!</v>
      </c>
      <c r="S6" s="4" t="e">
        <f t="shared" si="13"/>
        <v>#DIV/0!</v>
      </c>
      <c r="T6" s="4" t="e">
        <f t="shared" si="14"/>
        <v>#DIV/0!</v>
      </c>
      <c r="U6" s="18">
        <f t="shared" si="15"/>
        <v>0</v>
      </c>
      <c r="V6" s="18">
        <f t="shared" si="16"/>
        <v>0</v>
      </c>
      <c r="W6" s="53">
        <f t="shared" si="17"/>
        <v>0</v>
      </c>
      <c r="X6" s="4">
        <f>'Recovery Log'!P6</f>
        <v>0</v>
      </c>
      <c r="Y6" s="4">
        <f>'Recovery Log'!Q6</f>
        <v>0</v>
      </c>
      <c r="Z6" s="4">
        <f>'Recovery Log'!R6</f>
        <v>0</v>
      </c>
      <c r="AA6" s="4">
        <f>'Recovery Log'!S6</f>
        <v>0</v>
      </c>
      <c r="AB6" s="4">
        <f>'Recovery Log'!T6</f>
        <v>0</v>
      </c>
      <c r="AC6" s="4">
        <f>'Recovery Log'!U6</f>
        <v>0</v>
      </c>
      <c r="AD6" s="4">
        <f t="shared" si="18"/>
        <v>0</v>
      </c>
      <c r="AE6" s="4">
        <f t="shared" si="19"/>
        <v>0</v>
      </c>
      <c r="AF6" s="4">
        <f t="shared" si="20"/>
        <v>0</v>
      </c>
      <c r="AG6" s="4">
        <f t="shared" si="21"/>
        <v>0</v>
      </c>
      <c r="AH6" s="4">
        <f t="shared" si="22"/>
        <v>0</v>
      </c>
      <c r="AI6" s="4">
        <f t="shared" si="23"/>
        <v>0</v>
      </c>
      <c r="AJ6" s="4" t="e">
        <f t="shared" si="24"/>
        <v>#DIV/0!</v>
      </c>
      <c r="AK6" s="4" t="e">
        <f t="shared" si="25"/>
        <v>#DIV/0!</v>
      </c>
      <c r="AL6" s="4" t="e">
        <f t="shared" si="26"/>
        <v>#DIV/0!</v>
      </c>
      <c r="AM6" s="4" t="e">
        <f t="shared" si="27"/>
        <v>#DIV/0!</v>
      </c>
      <c r="AN6" s="18">
        <f t="shared" si="28"/>
        <v>0</v>
      </c>
      <c r="AO6" s="18">
        <f t="shared" si="29"/>
        <v>0</v>
      </c>
      <c r="AP6" s="53">
        <f t="shared" si="30"/>
        <v>0</v>
      </c>
      <c r="AQ6" t="e">
        <f t="shared" si="31"/>
        <v>#DIV/0!</v>
      </c>
    </row>
    <row r="7" spans="1:43" x14ac:dyDescent="0.25">
      <c r="A7" s="4">
        <f>'Recovery Log'!A7</f>
        <v>0</v>
      </c>
      <c r="B7" s="4" t="str">
        <f>'Recovery Log'!F7</f>
        <v/>
      </c>
      <c r="C7" s="25">
        <v>1671.0949900000001</v>
      </c>
      <c r="D7" s="25">
        <v>0.16</v>
      </c>
      <c r="E7" s="52">
        <f>'Deployment Log'!AF7</f>
        <v>0</v>
      </c>
      <c r="F7" s="4">
        <f>'Deployment Log'!AG7</f>
        <v>0</v>
      </c>
      <c r="G7" s="4">
        <f>'Deployment Log'!AH7</f>
        <v>0</v>
      </c>
      <c r="H7" s="4">
        <f>'Deployment Log'!AI7</f>
        <v>0</v>
      </c>
      <c r="I7" s="4">
        <f>'Deployment Log'!AJ7</f>
        <v>0</v>
      </c>
      <c r="J7" s="4">
        <f>'Deployment Log'!AK7</f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18" t="e">
        <f t="shared" si="2"/>
        <v>#DIV/0!</v>
      </c>
      <c r="R7" s="18" t="e">
        <f t="shared" si="12"/>
        <v>#DIV/0!</v>
      </c>
      <c r="S7" s="4" t="e">
        <f t="shared" si="13"/>
        <v>#DIV/0!</v>
      </c>
      <c r="T7" s="4" t="e">
        <f t="shared" si="14"/>
        <v>#DIV/0!</v>
      </c>
      <c r="U7" s="18">
        <f t="shared" si="15"/>
        <v>0</v>
      </c>
      <c r="V7" s="18">
        <f t="shared" si="16"/>
        <v>0</v>
      </c>
      <c r="W7" s="53">
        <f t="shared" si="17"/>
        <v>0</v>
      </c>
      <c r="X7" s="4">
        <f>'Recovery Log'!P7</f>
        <v>0</v>
      </c>
      <c r="Y7" s="4">
        <f>'Recovery Log'!Q7</f>
        <v>0</v>
      </c>
      <c r="Z7" s="4">
        <f>'Recovery Log'!R7</f>
        <v>0</v>
      </c>
      <c r="AA7" s="4">
        <f>'Recovery Log'!S7</f>
        <v>0</v>
      </c>
      <c r="AB7" s="4">
        <f>'Recovery Log'!T7</f>
        <v>0</v>
      </c>
      <c r="AC7" s="4">
        <f>'Recovery Log'!U7</f>
        <v>0</v>
      </c>
      <c r="AD7" s="4">
        <f t="shared" si="18"/>
        <v>0</v>
      </c>
      <c r="AE7" s="4">
        <f t="shared" si="19"/>
        <v>0</v>
      </c>
      <c r="AF7" s="4">
        <f t="shared" si="20"/>
        <v>0</v>
      </c>
      <c r="AG7" s="4">
        <f t="shared" si="21"/>
        <v>0</v>
      </c>
      <c r="AH7" s="4">
        <f t="shared" si="22"/>
        <v>0</v>
      </c>
      <c r="AI7" s="4">
        <f t="shared" si="23"/>
        <v>0</v>
      </c>
      <c r="AJ7" s="4" t="e">
        <f t="shared" si="24"/>
        <v>#DIV/0!</v>
      </c>
      <c r="AK7" s="4" t="e">
        <f t="shared" si="25"/>
        <v>#DIV/0!</v>
      </c>
      <c r="AL7" s="4" t="e">
        <f t="shared" si="26"/>
        <v>#DIV/0!</v>
      </c>
      <c r="AM7" s="4" t="e">
        <f t="shared" si="27"/>
        <v>#DIV/0!</v>
      </c>
      <c r="AN7" s="18">
        <f t="shared" si="28"/>
        <v>0</v>
      </c>
      <c r="AO7" s="18">
        <f t="shared" si="29"/>
        <v>0</v>
      </c>
      <c r="AP7" s="53">
        <f t="shared" si="30"/>
        <v>0</v>
      </c>
      <c r="AQ7" t="e">
        <f t="shared" si="31"/>
        <v>#DIV/0!</v>
      </c>
    </row>
    <row r="8" spans="1:43" x14ac:dyDescent="0.25">
      <c r="A8" s="4">
        <f>'Recovery Log'!A8</f>
        <v>0</v>
      </c>
      <c r="B8" s="4" t="str">
        <f>'Recovery Log'!F8</f>
        <v/>
      </c>
      <c r="C8" s="25">
        <v>1671.0949900000001</v>
      </c>
      <c r="D8" s="25">
        <v>0.16</v>
      </c>
      <c r="E8" s="52">
        <f>'Deployment Log'!AF8</f>
        <v>0</v>
      </c>
      <c r="F8" s="4">
        <f>'Deployment Log'!AG8</f>
        <v>0</v>
      </c>
      <c r="G8" s="4">
        <f>'Deployment Log'!AH8</f>
        <v>0</v>
      </c>
      <c r="H8" s="4">
        <f>'Deployment Log'!AI8</f>
        <v>0</v>
      </c>
      <c r="I8" s="4">
        <f>'Deployment Log'!AJ8</f>
        <v>0</v>
      </c>
      <c r="J8" s="4">
        <f>'Deployment Log'!AK8</f>
        <v>0</v>
      </c>
      <c r="K8" s="4">
        <f t="shared" si="6"/>
        <v>0</v>
      </c>
      <c r="L8" s="4">
        <f t="shared" si="7"/>
        <v>0</v>
      </c>
      <c r="M8" s="4">
        <f t="shared" si="8"/>
        <v>0</v>
      </c>
      <c r="N8" s="4">
        <f t="shared" si="9"/>
        <v>0</v>
      </c>
      <c r="O8" s="4">
        <f t="shared" si="10"/>
        <v>0</v>
      </c>
      <c r="P8" s="4">
        <f t="shared" si="11"/>
        <v>0</v>
      </c>
      <c r="Q8" s="18" t="e">
        <f t="shared" si="2"/>
        <v>#DIV/0!</v>
      </c>
      <c r="R8" s="18" t="e">
        <f t="shared" si="12"/>
        <v>#DIV/0!</v>
      </c>
      <c r="S8" s="4" t="e">
        <f t="shared" si="13"/>
        <v>#DIV/0!</v>
      </c>
      <c r="T8" s="4" t="e">
        <f t="shared" si="14"/>
        <v>#DIV/0!</v>
      </c>
      <c r="U8" s="18">
        <f t="shared" si="15"/>
        <v>0</v>
      </c>
      <c r="V8" s="18">
        <f t="shared" si="16"/>
        <v>0</v>
      </c>
      <c r="W8" s="53">
        <f t="shared" si="17"/>
        <v>0</v>
      </c>
      <c r="X8" s="4">
        <f>'Recovery Log'!P8</f>
        <v>0</v>
      </c>
      <c r="Y8" s="4">
        <f>'Recovery Log'!Q8</f>
        <v>0</v>
      </c>
      <c r="Z8" s="4">
        <f>'Recovery Log'!R8</f>
        <v>0</v>
      </c>
      <c r="AA8" s="4">
        <f>'Recovery Log'!S8</f>
        <v>0</v>
      </c>
      <c r="AB8" s="4">
        <f>'Recovery Log'!T8</f>
        <v>0</v>
      </c>
      <c r="AC8" s="4">
        <f>'Recovery Log'!U8</f>
        <v>0</v>
      </c>
      <c r="AD8" s="4">
        <f t="shared" si="18"/>
        <v>0</v>
      </c>
      <c r="AE8" s="4">
        <f t="shared" si="19"/>
        <v>0</v>
      </c>
      <c r="AF8" s="4">
        <f t="shared" si="20"/>
        <v>0</v>
      </c>
      <c r="AG8" s="4">
        <f t="shared" si="21"/>
        <v>0</v>
      </c>
      <c r="AH8" s="4">
        <f t="shared" si="22"/>
        <v>0</v>
      </c>
      <c r="AI8" s="4">
        <f t="shared" si="23"/>
        <v>0</v>
      </c>
      <c r="AJ8" s="4" t="e">
        <f t="shared" si="24"/>
        <v>#DIV/0!</v>
      </c>
      <c r="AK8" s="4" t="e">
        <f t="shared" si="25"/>
        <v>#DIV/0!</v>
      </c>
      <c r="AL8" s="4" t="e">
        <f t="shared" si="26"/>
        <v>#DIV/0!</v>
      </c>
      <c r="AM8" s="4" t="e">
        <f t="shared" si="27"/>
        <v>#DIV/0!</v>
      </c>
      <c r="AN8" s="18">
        <f t="shared" si="28"/>
        <v>0</v>
      </c>
      <c r="AO8" s="18">
        <f t="shared" si="29"/>
        <v>0</v>
      </c>
      <c r="AP8" s="53">
        <f t="shared" si="30"/>
        <v>0</v>
      </c>
      <c r="AQ8" t="e">
        <f t="shared" si="31"/>
        <v>#DIV/0!</v>
      </c>
    </row>
    <row r="9" spans="1:43" x14ac:dyDescent="0.25">
      <c r="A9" s="4">
        <f>'Recovery Log'!A9</f>
        <v>0</v>
      </c>
      <c r="B9" s="4" t="str">
        <f>'Recovery Log'!F9</f>
        <v/>
      </c>
      <c r="C9" s="25">
        <v>1671.0949900000001</v>
      </c>
      <c r="D9" s="25">
        <v>0.16</v>
      </c>
      <c r="E9" s="52">
        <f>'Deployment Log'!AF9</f>
        <v>0</v>
      </c>
      <c r="F9" s="4">
        <f>'Deployment Log'!AG9</f>
        <v>0</v>
      </c>
      <c r="G9" s="4">
        <f>'Deployment Log'!AH9</f>
        <v>0</v>
      </c>
      <c r="H9" s="4">
        <f>'Deployment Log'!AI9</f>
        <v>0</v>
      </c>
      <c r="I9" s="4">
        <f>'Deployment Log'!AJ9</f>
        <v>0</v>
      </c>
      <c r="J9" s="4">
        <f>'Deployment Log'!AK9</f>
        <v>0</v>
      </c>
      <c r="K9" s="4">
        <f t="shared" si="6"/>
        <v>0</v>
      </c>
      <c r="L9" s="4">
        <f t="shared" si="7"/>
        <v>0</v>
      </c>
      <c r="M9" s="4">
        <f t="shared" si="8"/>
        <v>0</v>
      </c>
      <c r="N9" s="4">
        <f t="shared" si="9"/>
        <v>0</v>
      </c>
      <c r="O9" s="4">
        <f t="shared" si="10"/>
        <v>0</v>
      </c>
      <c r="P9" s="4">
        <f t="shared" si="11"/>
        <v>0</v>
      </c>
      <c r="Q9" s="18" t="e">
        <f>IF(ISNUMBER(E9),DEGREES(ATAN2(E9,SQRT(F9^2 + G9^2))),"n/a")</f>
        <v>#DIV/0!</v>
      </c>
      <c r="R9" s="18" t="e">
        <f t="shared" si="12"/>
        <v>#DIV/0!</v>
      </c>
      <c r="S9" s="4" t="e">
        <f t="shared" si="13"/>
        <v>#DIV/0!</v>
      </c>
      <c r="T9" s="4" t="e">
        <f t="shared" si="14"/>
        <v>#DIV/0!</v>
      </c>
      <c r="U9" s="18">
        <f t="shared" si="15"/>
        <v>0</v>
      </c>
      <c r="V9" s="18">
        <f t="shared" si="16"/>
        <v>0</v>
      </c>
      <c r="W9" s="53">
        <f t="shared" si="17"/>
        <v>0</v>
      </c>
      <c r="X9" s="4">
        <f>'Recovery Log'!P9</f>
        <v>0</v>
      </c>
      <c r="Y9" s="4">
        <f>'Recovery Log'!Q9</f>
        <v>0</v>
      </c>
      <c r="Z9" s="4">
        <f>'Recovery Log'!R9</f>
        <v>0</v>
      </c>
      <c r="AA9" s="4">
        <f>'Recovery Log'!S9</f>
        <v>0</v>
      </c>
      <c r="AB9" s="4">
        <f>'Recovery Log'!T9</f>
        <v>0</v>
      </c>
      <c r="AC9" s="4">
        <f>'Recovery Log'!U9</f>
        <v>0</v>
      </c>
      <c r="AD9" s="4">
        <f t="shared" si="18"/>
        <v>0</v>
      </c>
      <c r="AE9" s="4">
        <f t="shared" si="19"/>
        <v>0</v>
      </c>
      <c r="AF9" s="4">
        <f t="shared" si="20"/>
        <v>0</v>
      </c>
      <c r="AG9" s="4">
        <f t="shared" si="21"/>
        <v>0</v>
      </c>
      <c r="AH9" s="4">
        <f t="shared" si="22"/>
        <v>0</v>
      </c>
      <c r="AI9" s="4">
        <f t="shared" si="23"/>
        <v>0</v>
      </c>
      <c r="AJ9" s="4" t="e">
        <f t="shared" si="24"/>
        <v>#DIV/0!</v>
      </c>
      <c r="AK9" s="4" t="e">
        <f t="shared" si="25"/>
        <v>#DIV/0!</v>
      </c>
      <c r="AL9" s="4" t="e">
        <f t="shared" si="26"/>
        <v>#DIV/0!</v>
      </c>
      <c r="AM9" s="4" t="e">
        <f t="shared" si="27"/>
        <v>#DIV/0!</v>
      </c>
      <c r="AN9" s="18">
        <f t="shared" si="28"/>
        <v>0</v>
      </c>
      <c r="AO9" s="18">
        <f t="shared" si="29"/>
        <v>0</v>
      </c>
      <c r="AP9" s="53">
        <f t="shared" si="30"/>
        <v>0</v>
      </c>
      <c r="AQ9" t="e">
        <f t="shared" si="31"/>
        <v>#DIV/0!</v>
      </c>
    </row>
    <row r="10" spans="1:43" x14ac:dyDescent="0.25">
      <c r="A10" s="4">
        <f>'Recovery Log'!A10</f>
        <v>0</v>
      </c>
      <c r="B10" s="4" t="str">
        <f>'Recovery Log'!F10</f>
        <v/>
      </c>
      <c r="C10" s="25">
        <v>1671.0949900000001</v>
      </c>
      <c r="D10" s="25">
        <v>0.16</v>
      </c>
      <c r="E10" s="52">
        <f>'Deployment Log'!AF10</f>
        <v>0</v>
      </c>
      <c r="F10" s="4">
        <f>'Deployment Log'!AG10</f>
        <v>0</v>
      </c>
      <c r="G10" s="4">
        <f>'Deployment Log'!AH10</f>
        <v>0</v>
      </c>
      <c r="H10" s="4">
        <f>'Deployment Log'!AI10</f>
        <v>0</v>
      </c>
      <c r="I10" s="4">
        <f>'Deployment Log'!AJ10</f>
        <v>0</v>
      </c>
      <c r="J10" s="4">
        <f>'Deployment Log'!AK10</f>
        <v>0</v>
      </c>
      <c r="K10" s="4">
        <f t="shared" si="6"/>
        <v>0</v>
      </c>
      <c r="L10" s="4">
        <f t="shared" si="7"/>
        <v>0</v>
      </c>
      <c r="M10" s="4">
        <f t="shared" si="8"/>
        <v>0</v>
      </c>
      <c r="N10" s="4">
        <f t="shared" si="9"/>
        <v>0</v>
      </c>
      <c r="O10" s="4">
        <f t="shared" si="10"/>
        <v>0</v>
      </c>
      <c r="P10" s="4">
        <f t="shared" si="11"/>
        <v>0</v>
      </c>
      <c r="Q10" s="18" t="e">
        <f t="shared" ref="Q10:Q22" si="32">IF(ISNUMBER(E10),DEGREES(ATAN2(E10,SQRT(F10^2 + G10^2))),"n/a")</f>
        <v>#DIV/0!</v>
      </c>
      <c r="R10" s="18" t="e">
        <f t="shared" si="12"/>
        <v>#DIV/0!</v>
      </c>
      <c r="S10" s="4" t="e">
        <f t="shared" si="13"/>
        <v>#DIV/0!</v>
      </c>
      <c r="T10" s="4" t="e">
        <f t="shared" si="14"/>
        <v>#DIV/0!</v>
      </c>
      <c r="U10" s="18">
        <f t="shared" si="15"/>
        <v>0</v>
      </c>
      <c r="V10" s="18">
        <f t="shared" si="16"/>
        <v>0</v>
      </c>
      <c r="W10" s="53">
        <f t="shared" si="17"/>
        <v>0</v>
      </c>
      <c r="X10" s="4">
        <f>'Recovery Log'!P10</f>
        <v>0</v>
      </c>
      <c r="Y10" s="4">
        <f>'Recovery Log'!Q10</f>
        <v>0</v>
      </c>
      <c r="Z10" s="4">
        <f>'Recovery Log'!R10</f>
        <v>0</v>
      </c>
      <c r="AA10" s="4">
        <f>'Recovery Log'!S10</f>
        <v>0</v>
      </c>
      <c r="AB10" s="4">
        <f>'Recovery Log'!T10</f>
        <v>0</v>
      </c>
      <c r="AC10" s="4">
        <f>'Recovery Log'!U10</f>
        <v>0</v>
      </c>
      <c r="AD10" s="4">
        <f t="shared" si="18"/>
        <v>0</v>
      </c>
      <c r="AE10" s="4">
        <f t="shared" si="19"/>
        <v>0</v>
      </c>
      <c r="AF10" s="4">
        <f t="shared" si="20"/>
        <v>0</v>
      </c>
      <c r="AG10" s="4">
        <f t="shared" si="21"/>
        <v>0</v>
      </c>
      <c r="AH10" s="4">
        <f t="shared" si="22"/>
        <v>0</v>
      </c>
      <c r="AI10" s="4">
        <f t="shared" si="23"/>
        <v>0</v>
      </c>
      <c r="AJ10" s="4" t="e">
        <f t="shared" si="24"/>
        <v>#DIV/0!</v>
      </c>
      <c r="AK10" s="4" t="e">
        <f t="shared" si="25"/>
        <v>#DIV/0!</v>
      </c>
      <c r="AL10" s="4" t="e">
        <f t="shared" si="26"/>
        <v>#DIV/0!</v>
      </c>
      <c r="AM10" s="4" t="e">
        <f t="shared" si="27"/>
        <v>#DIV/0!</v>
      </c>
      <c r="AN10" s="18">
        <f t="shared" si="28"/>
        <v>0</v>
      </c>
      <c r="AO10" s="18">
        <f t="shared" si="29"/>
        <v>0</v>
      </c>
      <c r="AP10" s="53">
        <f t="shared" si="30"/>
        <v>0</v>
      </c>
      <c r="AQ10" t="e">
        <f t="shared" si="31"/>
        <v>#DIV/0!</v>
      </c>
    </row>
    <row r="11" spans="1:43" x14ac:dyDescent="0.25">
      <c r="A11" s="4">
        <f>'Recovery Log'!A11</f>
        <v>0</v>
      </c>
      <c r="B11" s="4" t="str">
        <f>'Recovery Log'!F11</f>
        <v/>
      </c>
      <c r="C11" s="25">
        <v>1671.0949900000001</v>
      </c>
      <c r="D11" s="25">
        <v>0.16</v>
      </c>
      <c r="E11" s="52">
        <f>'Deployment Log'!AF11</f>
        <v>0</v>
      </c>
      <c r="F11" s="4">
        <f>'Deployment Log'!AG11</f>
        <v>0</v>
      </c>
      <c r="G11" s="4">
        <f>'Deployment Log'!AH11</f>
        <v>0</v>
      </c>
      <c r="H11" s="4">
        <f>'Deployment Log'!AI11</f>
        <v>0</v>
      </c>
      <c r="I11" s="4">
        <f>'Deployment Log'!AJ11</f>
        <v>0</v>
      </c>
      <c r="J11" s="4">
        <f>'Deployment Log'!AK11</f>
        <v>0</v>
      </c>
      <c r="K11" s="4">
        <f t="shared" si="6"/>
        <v>0</v>
      </c>
      <c r="L11" s="4">
        <f t="shared" si="7"/>
        <v>0</v>
      </c>
      <c r="M11" s="4">
        <f t="shared" si="8"/>
        <v>0</v>
      </c>
      <c r="N11" s="4">
        <f t="shared" si="9"/>
        <v>0</v>
      </c>
      <c r="O11" s="4">
        <f t="shared" si="10"/>
        <v>0</v>
      </c>
      <c r="P11" s="4">
        <f t="shared" si="11"/>
        <v>0</v>
      </c>
      <c r="Q11" s="18" t="e">
        <f t="shared" si="32"/>
        <v>#DIV/0!</v>
      </c>
      <c r="R11" s="18" t="e">
        <f t="shared" si="12"/>
        <v>#DIV/0!</v>
      </c>
      <c r="S11" s="4" t="e">
        <f t="shared" si="13"/>
        <v>#DIV/0!</v>
      </c>
      <c r="T11" s="4" t="e">
        <f t="shared" si="14"/>
        <v>#DIV/0!</v>
      </c>
      <c r="U11" s="18">
        <f t="shared" si="15"/>
        <v>0</v>
      </c>
      <c r="V11" s="18">
        <f t="shared" si="16"/>
        <v>0</v>
      </c>
      <c r="W11" s="53">
        <f t="shared" si="17"/>
        <v>0</v>
      </c>
      <c r="X11" s="4">
        <f>'Recovery Log'!P11</f>
        <v>0</v>
      </c>
      <c r="Y11" s="4">
        <f>'Recovery Log'!Q11</f>
        <v>0</v>
      </c>
      <c r="Z11" s="4">
        <f>'Recovery Log'!R11</f>
        <v>0</v>
      </c>
      <c r="AA11" s="4">
        <f>'Recovery Log'!S11</f>
        <v>0</v>
      </c>
      <c r="AB11" s="4">
        <f>'Recovery Log'!T11</f>
        <v>0</v>
      </c>
      <c r="AC11" s="4">
        <f>'Recovery Log'!U11</f>
        <v>0</v>
      </c>
      <c r="AD11" s="4">
        <f t="shared" si="18"/>
        <v>0</v>
      </c>
      <c r="AE11" s="4">
        <f t="shared" si="19"/>
        <v>0</v>
      </c>
      <c r="AF11" s="4">
        <f t="shared" si="20"/>
        <v>0</v>
      </c>
      <c r="AG11" s="4">
        <f t="shared" si="21"/>
        <v>0</v>
      </c>
      <c r="AH11" s="4">
        <f t="shared" si="22"/>
        <v>0</v>
      </c>
      <c r="AI11" s="4">
        <f t="shared" si="23"/>
        <v>0</v>
      </c>
      <c r="AJ11" s="4" t="e">
        <f t="shared" si="24"/>
        <v>#DIV/0!</v>
      </c>
      <c r="AK11" s="4" t="e">
        <f t="shared" si="25"/>
        <v>#DIV/0!</v>
      </c>
      <c r="AL11" s="4" t="e">
        <f t="shared" si="26"/>
        <v>#DIV/0!</v>
      </c>
      <c r="AM11" s="4" t="e">
        <f t="shared" si="27"/>
        <v>#DIV/0!</v>
      </c>
      <c r="AN11" s="18">
        <f t="shared" si="28"/>
        <v>0</v>
      </c>
      <c r="AO11" s="18">
        <f t="shared" si="29"/>
        <v>0</v>
      </c>
      <c r="AP11" s="53">
        <f t="shared" si="30"/>
        <v>0</v>
      </c>
      <c r="AQ11" t="e">
        <f t="shared" si="31"/>
        <v>#DIV/0!</v>
      </c>
    </row>
    <row r="12" spans="1:43" x14ac:dyDescent="0.25">
      <c r="A12" s="4">
        <f>'Recovery Log'!A12</f>
        <v>0</v>
      </c>
      <c r="B12" s="4" t="str">
        <f>'Recovery Log'!F12</f>
        <v/>
      </c>
      <c r="C12" s="25">
        <v>1671.0949900000001</v>
      </c>
      <c r="D12" s="25">
        <v>0.16</v>
      </c>
      <c r="E12" s="52">
        <f>'Deployment Log'!AF12</f>
        <v>0</v>
      </c>
      <c r="F12" s="4">
        <f>'Deployment Log'!AG12</f>
        <v>0</v>
      </c>
      <c r="G12" s="4">
        <f>'Deployment Log'!AH12</f>
        <v>0</v>
      </c>
      <c r="H12" s="4">
        <f>'Deployment Log'!AI12</f>
        <v>0</v>
      </c>
      <c r="I12" s="4">
        <f>'Deployment Log'!AJ12</f>
        <v>0</v>
      </c>
      <c r="J12" s="4">
        <f>'Deployment Log'!AK12</f>
        <v>0</v>
      </c>
      <c r="K12" s="4">
        <f t="shared" si="6"/>
        <v>0</v>
      </c>
      <c r="L12" s="4">
        <f t="shared" si="7"/>
        <v>0</v>
      </c>
      <c r="M12" s="4">
        <f t="shared" si="8"/>
        <v>0</v>
      </c>
      <c r="N12" s="4">
        <f t="shared" si="9"/>
        <v>0</v>
      </c>
      <c r="O12" s="4">
        <f t="shared" si="10"/>
        <v>0</v>
      </c>
      <c r="P12" s="4">
        <f t="shared" si="11"/>
        <v>0</v>
      </c>
      <c r="Q12" s="18" t="e">
        <f t="shared" si="32"/>
        <v>#DIV/0!</v>
      </c>
      <c r="R12" s="18" t="e">
        <f t="shared" si="12"/>
        <v>#DIV/0!</v>
      </c>
      <c r="S12" s="4" t="e">
        <f t="shared" si="13"/>
        <v>#DIV/0!</v>
      </c>
      <c r="T12" s="4" t="e">
        <f t="shared" si="14"/>
        <v>#DIV/0!</v>
      </c>
      <c r="U12" s="18">
        <f t="shared" si="15"/>
        <v>0</v>
      </c>
      <c r="V12" s="18">
        <f t="shared" si="16"/>
        <v>0</v>
      </c>
      <c r="W12" s="53">
        <f t="shared" si="17"/>
        <v>0</v>
      </c>
      <c r="X12" s="4">
        <f>'Recovery Log'!P12</f>
        <v>0</v>
      </c>
      <c r="Y12" s="4">
        <f>'Recovery Log'!Q12</f>
        <v>0</v>
      </c>
      <c r="Z12" s="4">
        <f>'Recovery Log'!R12</f>
        <v>0</v>
      </c>
      <c r="AA12" s="4">
        <f>'Recovery Log'!S12</f>
        <v>0</v>
      </c>
      <c r="AB12" s="4">
        <f>'Recovery Log'!T12</f>
        <v>0</v>
      </c>
      <c r="AC12" s="4">
        <f>'Recovery Log'!U12</f>
        <v>0</v>
      </c>
      <c r="AD12" s="4">
        <f t="shared" si="18"/>
        <v>0</v>
      </c>
      <c r="AE12" s="4">
        <f t="shared" si="19"/>
        <v>0</v>
      </c>
      <c r="AF12" s="4">
        <f t="shared" si="20"/>
        <v>0</v>
      </c>
      <c r="AG12" s="4">
        <f t="shared" si="21"/>
        <v>0</v>
      </c>
      <c r="AH12" s="4">
        <f t="shared" si="22"/>
        <v>0</v>
      </c>
      <c r="AI12" s="4">
        <f t="shared" si="23"/>
        <v>0</v>
      </c>
      <c r="AJ12" s="4" t="e">
        <f t="shared" si="24"/>
        <v>#DIV/0!</v>
      </c>
      <c r="AK12" s="4" t="e">
        <f t="shared" si="25"/>
        <v>#DIV/0!</v>
      </c>
      <c r="AL12" s="4" t="e">
        <f t="shared" si="26"/>
        <v>#DIV/0!</v>
      </c>
      <c r="AM12" s="4" t="e">
        <f t="shared" si="27"/>
        <v>#DIV/0!</v>
      </c>
      <c r="AN12" s="18">
        <f t="shared" si="28"/>
        <v>0</v>
      </c>
      <c r="AO12" s="18">
        <f t="shared" si="29"/>
        <v>0</v>
      </c>
      <c r="AP12" s="53">
        <f t="shared" si="30"/>
        <v>0</v>
      </c>
      <c r="AQ12" t="e">
        <f t="shared" si="31"/>
        <v>#DIV/0!</v>
      </c>
    </row>
    <row r="13" spans="1:43" x14ac:dyDescent="0.25">
      <c r="A13" s="4">
        <f>'Recovery Log'!A13</f>
        <v>0</v>
      </c>
      <c r="B13" s="4" t="str">
        <f>'Recovery Log'!F13</f>
        <v/>
      </c>
      <c r="C13" s="25">
        <v>1671.0949900000001</v>
      </c>
      <c r="D13" s="25">
        <v>0.16</v>
      </c>
      <c r="E13" s="52">
        <f>'Deployment Log'!AF13</f>
        <v>0</v>
      </c>
      <c r="F13" s="4">
        <f>'Deployment Log'!AG13</f>
        <v>0</v>
      </c>
      <c r="G13" s="4">
        <f>'Deployment Log'!AH13</f>
        <v>0</v>
      </c>
      <c r="H13" s="4">
        <f>'Deployment Log'!AI13</f>
        <v>0</v>
      </c>
      <c r="I13" s="4">
        <f>'Deployment Log'!AJ13</f>
        <v>0</v>
      </c>
      <c r="J13" s="4">
        <f>'Deployment Log'!AK13</f>
        <v>0</v>
      </c>
      <c r="K13" s="4">
        <f t="shared" si="6"/>
        <v>0</v>
      </c>
      <c r="L13" s="4">
        <f t="shared" si="7"/>
        <v>0</v>
      </c>
      <c r="M13" s="4">
        <f t="shared" si="8"/>
        <v>0</v>
      </c>
      <c r="N13" s="4">
        <f t="shared" si="9"/>
        <v>0</v>
      </c>
      <c r="O13" s="4">
        <f t="shared" si="10"/>
        <v>0</v>
      </c>
      <c r="P13" s="4">
        <f t="shared" si="11"/>
        <v>0</v>
      </c>
      <c r="Q13" s="18" t="e">
        <f t="shared" si="32"/>
        <v>#DIV/0!</v>
      </c>
      <c r="R13" s="18" t="e">
        <f t="shared" si="12"/>
        <v>#DIV/0!</v>
      </c>
      <c r="S13" s="4" t="e">
        <f t="shared" si="13"/>
        <v>#DIV/0!</v>
      </c>
      <c r="T13" s="4" t="e">
        <f t="shared" si="14"/>
        <v>#DIV/0!</v>
      </c>
      <c r="U13" s="18">
        <f t="shared" si="15"/>
        <v>0</v>
      </c>
      <c r="V13" s="18">
        <f t="shared" si="16"/>
        <v>0</v>
      </c>
      <c r="W13" s="53">
        <f t="shared" si="17"/>
        <v>0</v>
      </c>
      <c r="X13" s="4">
        <f>'Recovery Log'!P13</f>
        <v>0</v>
      </c>
      <c r="Y13" s="4">
        <f>'Recovery Log'!Q13</f>
        <v>0</v>
      </c>
      <c r="Z13" s="4">
        <f>'Recovery Log'!R13</f>
        <v>0</v>
      </c>
      <c r="AA13" s="4">
        <f>'Recovery Log'!S13</f>
        <v>0</v>
      </c>
      <c r="AB13" s="4">
        <f>'Recovery Log'!T13</f>
        <v>0</v>
      </c>
      <c r="AC13" s="4">
        <f>'Recovery Log'!U13</f>
        <v>0</v>
      </c>
      <c r="AD13" s="4">
        <f t="shared" si="18"/>
        <v>0</v>
      </c>
      <c r="AE13" s="4">
        <f t="shared" si="19"/>
        <v>0</v>
      </c>
      <c r="AF13" s="4">
        <f t="shared" si="20"/>
        <v>0</v>
      </c>
      <c r="AG13" s="4">
        <f t="shared" si="21"/>
        <v>0</v>
      </c>
      <c r="AH13" s="4">
        <f t="shared" si="22"/>
        <v>0</v>
      </c>
      <c r="AI13" s="4">
        <f t="shared" si="23"/>
        <v>0</v>
      </c>
      <c r="AJ13" s="4" t="e">
        <f t="shared" si="24"/>
        <v>#DIV/0!</v>
      </c>
      <c r="AK13" s="4" t="e">
        <f t="shared" si="25"/>
        <v>#DIV/0!</v>
      </c>
      <c r="AL13" s="4" t="e">
        <f t="shared" si="26"/>
        <v>#DIV/0!</v>
      </c>
      <c r="AM13" s="4" t="e">
        <f t="shared" si="27"/>
        <v>#DIV/0!</v>
      </c>
      <c r="AN13" s="18">
        <f t="shared" si="28"/>
        <v>0</v>
      </c>
      <c r="AO13" s="18">
        <f t="shared" si="29"/>
        <v>0</v>
      </c>
      <c r="AP13" s="53">
        <f t="shared" si="30"/>
        <v>0</v>
      </c>
      <c r="AQ13" t="e">
        <f t="shared" si="31"/>
        <v>#DIV/0!</v>
      </c>
    </row>
    <row r="14" spans="1:43" x14ac:dyDescent="0.25">
      <c r="A14" s="4">
        <f>'Recovery Log'!A14</f>
        <v>0</v>
      </c>
      <c r="B14" s="4" t="str">
        <f>'Recovery Log'!F14</f>
        <v/>
      </c>
      <c r="C14" s="25">
        <v>1671.0949900000001</v>
      </c>
      <c r="D14" s="25">
        <v>0.16</v>
      </c>
      <c r="E14" s="52">
        <f>'Deployment Log'!AF14</f>
        <v>0</v>
      </c>
      <c r="F14" s="4">
        <f>'Deployment Log'!AG14</f>
        <v>0</v>
      </c>
      <c r="G14" s="4">
        <f>'Deployment Log'!AH14</f>
        <v>0</v>
      </c>
      <c r="H14" s="4">
        <f>'Deployment Log'!AI14</f>
        <v>0</v>
      </c>
      <c r="I14" s="4">
        <f>'Deployment Log'!AJ14</f>
        <v>0</v>
      </c>
      <c r="J14" s="4">
        <f>'Deployment Log'!AK14</f>
        <v>0</v>
      </c>
      <c r="K14" s="4">
        <f t="shared" si="6"/>
        <v>0</v>
      </c>
      <c r="L14" s="4">
        <f t="shared" si="7"/>
        <v>0</v>
      </c>
      <c r="M14" s="4">
        <f t="shared" si="8"/>
        <v>0</v>
      </c>
      <c r="N14" s="4">
        <f t="shared" si="9"/>
        <v>0</v>
      </c>
      <c r="O14" s="4">
        <f t="shared" si="10"/>
        <v>0</v>
      </c>
      <c r="P14" s="4">
        <f t="shared" si="11"/>
        <v>0</v>
      </c>
      <c r="Q14" s="18" t="e">
        <f t="shared" si="32"/>
        <v>#DIV/0!</v>
      </c>
      <c r="R14" s="18" t="e">
        <f t="shared" si="12"/>
        <v>#DIV/0!</v>
      </c>
      <c r="S14" s="4" t="e">
        <f t="shared" si="13"/>
        <v>#DIV/0!</v>
      </c>
      <c r="T14" s="4" t="e">
        <f t="shared" si="14"/>
        <v>#DIV/0!</v>
      </c>
      <c r="U14" s="18">
        <f t="shared" si="15"/>
        <v>0</v>
      </c>
      <c r="V14" s="18">
        <f t="shared" si="16"/>
        <v>0</v>
      </c>
      <c r="W14" s="53">
        <f t="shared" si="17"/>
        <v>0</v>
      </c>
      <c r="X14" s="4">
        <f>'Recovery Log'!P14</f>
        <v>0</v>
      </c>
      <c r="Y14" s="4">
        <f>'Recovery Log'!Q14</f>
        <v>0</v>
      </c>
      <c r="Z14" s="4">
        <f>'Recovery Log'!R14</f>
        <v>0</v>
      </c>
      <c r="AA14" s="4">
        <f>'Recovery Log'!S14</f>
        <v>0</v>
      </c>
      <c r="AB14" s="4">
        <f>'Recovery Log'!T14</f>
        <v>0</v>
      </c>
      <c r="AC14" s="4">
        <f>'Recovery Log'!U14</f>
        <v>0</v>
      </c>
      <c r="AD14" s="4">
        <f t="shared" si="18"/>
        <v>0</v>
      </c>
      <c r="AE14" s="4">
        <f t="shared" si="19"/>
        <v>0</v>
      </c>
      <c r="AF14" s="4">
        <f t="shared" si="20"/>
        <v>0</v>
      </c>
      <c r="AG14" s="4">
        <f t="shared" si="21"/>
        <v>0</v>
      </c>
      <c r="AH14" s="4">
        <f t="shared" si="22"/>
        <v>0</v>
      </c>
      <c r="AI14" s="4">
        <f t="shared" si="23"/>
        <v>0</v>
      </c>
      <c r="AJ14" s="4" t="e">
        <f t="shared" si="24"/>
        <v>#DIV/0!</v>
      </c>
      <c r="AK14" s="4" t="e">
        <f t="shared" si="25"/>
        <v>#DIV/0!</v>
      </c>
      <c r="AL14" s="4" t="e">
        <f t="shared" si="26"/>
        <v>#DIV/0!</v>
      </c>
      <c r="AM14" s="4" t="e">
        <f t="shared" si="27"/>
        <v>#DIV/0!</v>
      </c>
      <c r="AN14" s="18">
        <f t="shared" si="28"/>
        <v>0</v>
      </c>
      <c r="AO14" s="18">
        <f t="shared" si="29"/>
        <v>0</v>
      </c>
      <c r="AP14" s="53">
        <f t="shared" si="30"/>
        <v>0</v>
      </c>
      <c r="AQ14" t="e">
        <f t="shared" si="31"/>
        <v>#DIV/0!</v>
      </c>
    </row>
    <row r="15" spans="1:43" x14ac:dyDescent="0.25">
      <c r="A15" s="4">
        <f>'Recovery Log'!A15</f>
        <v>0</v>
      </c>
      <c r="B15" s="4" t="str">
        <f>'Recovery Log'!F15</f>
        <v/>
      </c>
      <c r="C15" s="25">
        <v>1671.0949900000001</v>
      </c>
      <c r="D15" s="25">
        <v>0.16</v>
      </c>
      <c r="E15" s="52">
        <f>'Deployment Log'!AF15</f>
        <v>0</v>
      </c>
      <c r="F15" s="4">
        <f>'Deployment Log'!AG15</f>
        <v>0</v>
      </c>
      <c r="G15" s="4">
        <f>'Deployment Log'!AH15</f>
        <v>0</v>
      </c>
      <c r="H15" s="4">
        <f>'Deployment Log'!AI15</f>
        <v>0</v>
      </c>
      <c r="I15" s="4">
        <f>'Deployment Log'!AJ15</f>
        <v>0</v>
      </c>
      <c r="J15" s="4">
        <f>'Deployment Log'!AK15</f>
        <v>0</v>
      </c>
      <c r="K15" s="4">
        <f t="shared" si="6"/>
        <v>0</v>
      </c>
      <c r="L15" s="4">
        <f t="shared" si="7"/>
        <v>0</v>
      </c>
      <c r="M15" s="4">
        <f t="shared" si="8"/>
        <v>0</v>
      </c>
      <c r="N15" s="4">
        <f t="shared" si="9"/>
        <v>0</v>
      </c>
      <c r="O15" s="4">
        <f t="shared" si="10"/>
        <v>0</v>
      </c>
      <c r="P15" s="4">
        <f t="shared" si="11"/>
        <v>0</v>
      </c>
      <c r="Q15" s="18" t="e">
        <f t="shared" si="32"/>
        <v>#DIV/0!</v>
      </c>
      <c r="R15" s="18" t="e">
        <f t="shared" si="12"/>
        <v>#DIV/0!</v>
      </c>
      <c r="S15" s="4" t="e">
        <f t="shared" si="13"/>
        <v>#DIV/0!</v>
      </c>
      <c r="T15" s="4" t="e">
        <f t="shared" si="14"/>
        <v>#DIV/0!</v>
      </c>
      <c r="U15" s="18">
        <f t="shared" si="15"/>
        <v>0</v>
      </c>
      <c r="V15" s="18">
        <f t="shared" si="16"/>
        <v>0</v>
      </c>
      <c r="W15" s="53">
        <f t="shared" si="17"/>
        <v>0</v>
      </c>
      <c r="X15" s="4">
        <f>'Recovery Log'!P15</f>
        <v>0</v>
      </c>
      <c r="Y15" s="4">
        <f>'Recovery Log'!Q15</f>
        <v>0</v>
      </c>
      <c r="Z15" s="4">
        <f>'Recovery Log'!R15</f>
        <v>0</v>
      </c>
      <c r="AA15" s="4">
        <f>'Recovery Log'!S15</f>
        <v>0</v>
      </c>
      <c r="AB15" s="4">
        <f>'Recovery Log'!T15</f>
        <v>0</v>
      </c>
      <c r="AC15" s="4">
        <f>'Recovery Log'!U15</f>
        <v>0</v>
      </c>
      <c r="AD15" s="4">
        <f t="shared" si="18"/>
        <v>0</v>
      </c>
      <c r="AE15" s="4">
        <f t="shared" si="19"/>
        <v>0</v>
      </c>
      <c r="AF15" s="4">
        <f t="shared" si="20"/>
        <v>0</v>
      </c>
      <c r="AG15" s="4">
        <f t="shared" si="21"/>
        <v>0</v>
      </c>
      <c r="AH15" s="4">
        <f t="shared" si="22"/>
        <v>0</v>
      </c>
      <c r="AI15" s="4">
        <f t="shared" si="23"/>
        <v>0</v>
      </c>
      <c r="AJ15" s="4" t="e">
        <f t="shared" si="24"/>
        <v>#DIV/0!</v>
      </c>
      <c r="AK15" s="4" t="e">
        <f t="shared" si="25"/>
        <v>#DIV/0!</v>
      </c>
      <c r="AL15" s="4" t="e">
        <f t="shared" si="26"/>
        <v>#DIV/0!</v>
      </c>
      <c r="AM15" s="4" t="e">
        <f t="shared" si="27"/>
        <v>#DIV/0!</v>
      </c>
      <c r="AN15" s="18">
        <f t="shared" si="28"/>
        <v>0</v>
      </c>
      <c r="AO15" s="18">
        <f t="shared" si="29"/>
        <v>0</v>
      </c>
      <c r="AP15" s="53">
        <f t="shared" si="30"/>
        <v>0</v>
      </c>
      <c r="AQ15" t="e">
        <f t="shared" si="31"/>
        <v>#DIV/0!</v>
      </c>
    </row>
    <row r="16" spans="1:43" x14ac:dyDescent="0.25">
      <c r="A16" s="4">
        <f>'Recovery Log'!A16</f>
        <v>0</v>
      </c>
      <c r="B16" s="4" t="str">
        <f>'Recovery Log'!F16</f>
        <v/>
      </c>
      <c r="C16" s="25">
        <v>1671.0949900000001</v>
      </c>
      <c r="D16" s="25">
        <v>0.16</v>
      </c>
      <c r="E16" s="52">
        <f>'Deployment Log'!AF16</f>
        <v>0</v>
      </c>
      <c r="F16" s="4">
        <f>'Deployment Log'!AG16</f>
        <v>0</v>
      </c>
      <c r="G16" s="4">
        <f>'Deployment Log'!AH16</f>
        <v>0</v>
      </c>
      <c r="H16" s="4">
        <f>'Deployment Log'!AI16</f>
        <v>0</v>
      </c>
      <c r="I16" s="4">
        <f>'Deployment Log'!AJ16</f>
        <v>0</v>
      </c>
      <c r="J16" s="4">
        <f>'Deployment Log'!AK16</f>
        <v>0</v>
      </c>
      <c r="K16" s="4">
        <f t="shared" si="6"/>
        <v>0</v>
      </c>
      <c r="L16" s="4">
        <f t="shared" si="7"/>
        <v>0</v>
      </c>
      <c r="M16" s="4">
        <f t="shared" si="8"/>
        <v>0</v>
      </c>
      <c r="N16" s="4">
        <f t="shared" si="9"/>
        <v>0</v>
      </c>
      <c r="O16" s="4">
        <f t="shared" si="10"/>
        <v>0</v>
      </c>
      <c r="P16" s="4">
        <f t="shared" si="11"/>
        <v>0</v>
      </c>
      <c r="Q16" s="18" t="e">
        <f t="shared" si="32"/>
        <v>#DIV/0!</v>
      </c>
      <c r="R16" s="18" t="e">
        <f t="shared" si="12"/>
        <v>#DIV/0!</v>
      </c>
      <c r="S16" s="4" t="e">
        <f t="shared" si="13"/>
        <v>#DIV/0!</v>
      </c>
      <c r="T16" s="4" t="e">
        <f t="shared" si="14"/>
        <v>#DIV/0!</v>
      </c>
      <c r="U16" s="18">
        <f t="shared" si="15"/>
        <v>0</v>
      </c>
      <c r="V16" s="18">
        <f t="shared" si="16"/>
        <v>0</v>
      </c>
      <c r="W16" s="53">
        <f t="shared" si="17"/>
        <v>0</v>
      </c>
      <c r="X16" s="4">
        <f>'Recovery Log'!P16</f>
        <v>0</v>
      </c>
      <c r="Y16" s="4">
        <f>'Recovery Log'!Q16</f>
        <v>0</v>
      </c>
      <c r="Z16" s="4">
        <f>'Recovery Log'!R16</f>
        <v>0</v>
      </c>
      <c r="AA16" s="4">
        <f>'Recovery Log'!S16</f>
        <v>0</v>
      </c>
      <c r="AB16" s="4">
        <f>'Recovery Log'!T16</f>
        <v>0</v>
      </c>
      <c r="AC16" s="4">
        <f>'Recovery Log'!U16</f>
        <v>0</v>
      </c>
      <c r="AD16" s="4">
        <f t="shared" si="18"/>
        <v>0</v>
      </c>
      <c r="AE16" s="4">
        <f t="shared" si="19"/>
        <v>0</v>
      </c>
      <c r="AF16" s="4">
        <f t="shared" si="20"/>
        <v>0</v>
      </c>
      <c r="AG16" s="4">
        <f t="shared" si="21"/>
        <v>0</v>
      </c>
      <c r="AH16" s="4">
        <f t="shared" si="22"/>
        <v>0</v>
      </c>
      <c r="AI16" s="4">
        <f t="shared" si="23"/>
        <v>0</v>
      </c>
      <c r="AJ16" s="4" t="e">
        <f t="shared" si="24"/>
        <v>#DIV/0!</v>
      </c>
      <c r="AK16" s="4" t="e">
        <f t="shared" si="25"/>
        <v>#DIV/0!</v>
      </c>
      <c r="AL16" s="4" t="e">
        <f t="shared" si="26"/>
        <v>#DIV/0!</v>
      </c>
      <c r="AM16" s="4" t="e">
        <f t="shared" si="27"/>
        <v>#DIV/0!</v>
      </c>
      <c r="AN16" s="18">
        <f t="shared" si="28"/>
        <v>0</v>
      </c>
      <c r="AO16" s="18">
        <f t="shared" si="29"/>
        <v>0</v>
      </c>
      <c r="AP16" s="53">
        <f t="shared" si="30"/>
        <v>0</v>
      </c>
      <c r="AQ16" t="e">
        <f t="shared" si="31"/>
        <v>#DIV/0!</v>
      </c>
    </row>
    <row r="17" spans="1:43" x14ac:dyDescent="0.25">
      <c r="A17" s="4">
        <f>'Recovery Log'!A17</f>
        <v>0</v>
      </c>
      <c r="B17" s="4" t="str">
        <f>'Recovery Log'!F17</f>
        <v/>
      </c>
      <c r="C17" s="25">
        <v>1671.0949900000001</v>
      </c>
      <c r="D17" s="25">
        <v>0.16</v>
      </c>
      <c r="E17" s="52">
        <f>'Deployment Log'!AF17</f>
        <v>0</v>
      </c>
      <c r="F17" s="4">
        <f>'Deployment Log'!AG17</f>
        <v>0</v>
      </c>
      <c r="G17" s="4">
        <f>'Deployment Log'!AH17</f>
        <v>0</v>
      </c>
      <c r="H17" s="4">
        <f>'Deployment Log'!AI17</f>
        <v>0</v>
      </c>
      <c r="I17" s="4">
        <f>'Deployment Log'!AJ17</f>
        <v>0</v>
      </c>
      <c r="J17" s="4">
        <f>'Deployment Log'!AK17</f>
        <v>0</v>
      </c>
      <c r="K17" s="4">
        <f t="shared" si="6"/>
        <v>0</v>
      </c>
      <c r="L17" s="4">
        <f t="shared" si="7"/>
        <v>0</v>
      </c>
      <c r="M17" s="4">
        <f t="shared" si="8"/>
        <v>0</v>
      </c>
      <c r="N17" s="4">
        <f t="shared" si="9"/>
        <v>0</v>
      </c>
      <c r="O17" s="4">
        <f t="shared" si="10"/>
        <v>0</v>
      </c>
      <c r="P17" s="4">
        <f t="shared" si="11"/>
        <v>0</v>
      </c>
      <c r="Q17" s="18" t="e">
        <f t="shared" si="32"/>
        <v>#DIV/0!</v>
      </c>
      <c r="R17" s="18" t="e">
        <f t="shared" si="12"/>
        <v>#DIV/0!</v>
      </c>
      <c r="S17" s="4" t="e">
        <f t="shared" si="13"/>
        <v>#DIV/0!</v>
      </c>
      <c r="T17" s="4" t="e">
        <f t="shared" si="14"/>
        <v>#DIV/0!</v>
      </c>
      <c r="U17" s="18">
        <f t="shared" si="15"/>
        <v>0</v>
      </c>
      <c r="V17" s="18">
        <f t="shared" si="16"/>
        <v>0</v>
      </c>
      <c r="W17" s="53">
        <f t="shared" si="17"/>
        <v>0</v>
      </c>
      <c r="X17" s="4">
        <f>'Recovery Log'!P17</f>
        <v>0</v>
      </c>
      <c r="Y17" s="4">
        <f>'Recovery Log'!Q17</f>
        <v>0</v>
      </c>
      <c r="Z17" s="4">
        <f>'Recovery Log'!R17</f>
        <v>0</v>
      </c>
      <c r="AA17" s="4">
        <f>'Recovery Log'!S17</f>
        <v>0</v>
      </c>
      <c r="AB17" s="4">
        <f>'Recovery Log'!T17</f>
        <v>0</v>
      </c>
      <c r="AC17" s="4">
        <f>'Recovery Log'!U17</f>
        <v>0</v>
      </c>
      <c r="AD17" s="4">
        <f t="shared" si="18"/>
        <v>0</v>
      </c>
      <c r="AE17" s="4">
        <f t="shared" si="19"/>
        <v>0</v>
      </c>
      <c r="AF17" s="4">
        <f t="shared" si="20"/>
        <v>0</v>
      </c>
      <c r="AG17" s="4">
        <f t="shared" si="21"/>
        <v>0</v>
      </c>
      <c r="AH17" s="4">
        <f t="shared" si="22"/>
        <v>0</v>
      </c>
      <c r="AI17" s="4">
        <f t="shared" si="23"/>
        <v>0</v>
      </c>
      <c r="AJ17" s="4" t="e">
        <f t="shared" si="24"/>
        <v>#DIV/0!</v>
      </c>
      <c r="AK17" s="4" t="e">
        <f t="shared" si="25"/>
        <v>#DIV/0!</v>
      </c>
      <c r="AL17" s="4" t="e">
        <f t="shared" si="26"/>
        <v>#DIV/0!</v>
      </c>
      <c r="AM17" s="4" t="e">
        <f t="shared" si="27"/>
        <v>#DIV/0!</v>
      </c>
      <c r="AN17" s="18">
        <f t="shared" si="28"/>
        <v>0</v>
      </c>
      <c r="AO17" s="18">
        <f t="shared" si="29"/>
        <v>0</v>
      </c>
      <c r="AP17" s="53">
        <f t="shared" si="30"/>
        <v>0</v>
      </c>
      <c r="AQ17" t="e">
        <f t="shared" si="31"/>
        <v>#DIV/0!</v>
      </c>
    </row>
    <row r="18" spans="1:43" x14ac:dyDescent="0.25">
      <c r="A18" s="4">
        <f>'Recovery Log'!A18</f>
        <v>0</v>
      </c>
      <c r="B18" s="4" t="str">
        <f>'Recovery Log'!F18</f>
        <v/>
      </c>
      <c r="C18" s="25">
        <v>1671.0949900000001</v>
      </c>
      <c r="D18" s="25">
        <v>0.16</v>
      </c>
      <c r="E18" s="52">
        <f>'Deployment Log'!AF18</f>
        <v>0</v>
      </c>
      <c r="F18" s="4">
        <f>'Deployment Log'!AG18</f>
        <v>0</v>
      </c>
      <c r="G18" s="4">
        <f>'Deployment Log'!AH18</f>
        <v>0</v>
      </c>
      <c r="H18" s="4">
        <f>'Deployment Log'!AI18</f>
        <v>0</v>
      </c>
      <c r="I18" s="4">
        <f>'Deployment Log'!AJ18</f>
        <v>0</v>
      </c>
      <c r="J18" s="4">
        <f>'Deployment Log'!AK18</f>
        <v>0</v>
      </c>
      <c r="K18" s="4">
        <f t="shared" si="6"/>
        <v>0</v>
      </c>
      <c r="L18" s="4">
        <f t="shared" si="7"/>
        <v>0</v>
      </c>
      <c r="M18" s="4">
        <f t="shared" si="8"/>
        <v>0</v>
      </c>
      <c r="N18" s="4">
        <f t="shared" si="9"/>
        <v>0</v>
      </c>
      <c r="O18" s="4">
        <f t="shared" si="10"/>
        <v>0</v>
      </c>
      <c r="P18" s="4">
        <f t="shared" si="11"/>
        <v>0</v>
      </c>
      <c r="Q18" s="18" t="e">
        <f t="shared" si="32"/>
        <v>#DIV/0!</v>
      </c>
      <c r="R18" s="18" t="e">
        <f t="shared" si="12"/>
        <v>#DIV/0!</v>
      </c>
      <c r="S18" s="4" t="e">
        <f t="shared" si="13"/>
        <v>#DIV/0!</v>
      </c>
      <c r="T18" s="4" t="e">
        <f t="shared" si="14"/>
        <v>#DIV/0!</v>
      </c>
      <c r="U18" s="18">
        <f t="shared" si="15"/>
        <v>0</v>
      </c>
      <c r="V18" s="18">
        <f t="shared" si="16"/>
        <v>0</v>
      </c>
      <c r="W18" s="53">
        <f t="shared" si="17"/>
        <v>0</v>
      </c>
      <c r="X18" s="4">
        <f>'Recovery Log'!P18</f>
        <v>0</v>
      </c>
      <c r="Y18" s="4">
        <f>'Recovery Log'!Q18</f>
        <v>0</v>
      </c>
      <c r="Z18" s="4">
        <f>'Recovery Log'!R18</f>
        <v>0</v>
      </c>
      <c r="AA18" s="4">
        <f>'Recovery Log'!S18</f>
        <v>0</v>
      </c>
      <c r="AB18" s="4">
        <f>'Recovery Log'!T18</f>
        <v>0</v>
      </c>
      <c r="AC18" s="4">
        <f>'Recovery Log'!U18</f>
        <v>0</v>
      </c>
      <c r="AD18" s="4">
        <f t="shared" si="18"/>
        <v>0</v>
      </c>
      <c r="AE18" s="4">
        <f t="shared" si="19"/>
        <v>0</v>
      </c>
      <c r="AF18" s="4">
        <f t="shared" si="20"/>
        <v>0</v>
      </c>
      <c r="AG18" s="4">
        <f t="shared" si="21"/>
        <v>0</v>
      </c>
      <c r="AH18" s="4">
        <f t="shared" si="22"/>
        <v>0</v>
      </c>
      <c r="AI18" s="4">
        <f t="shared" si="23"/>
        <v>0</v>
      </c>
      <c r="AJ18" s="4" t="e">
        <f t="shared" si="24"/>
        <v>#DIV/0!</v>
      </c>
      <c r="AK18" s="4" t="e">
        <f t="shared" si="25"/>
        <v>#DIV/0!</v>
      </c>
      <c r="AL18" s="4" t="e">
        <f t="shared" si="26"/>
        <v>#DIV/0!</v>
      </c>
      <c r="AM18" s="4" t="e">
        <f t="shared" si="27"/>
        <v>#DIV/0!</v>
      </c>
      <c r="AN18" s="18">
        <f t="shared" si="28"/>
        <v>0</v>
      </c>
      <c r="AO18" s="18">
        <f t="shared" si="29"/>
        <v>0</v>
      </c>
      <c r="AP18" s="53">
        <f t="shared" si="30"/>
        <v>0</v>
      </c>
      <c r="AQ18" t="e">
        <f t="shared" si="31"/>
        <v>#DIV/0!</v>
      </c>
    </row>
    <row r="19" spans="1:43" x14ac:dyDescent="0.25">
      <c r="A19" s="4">
        <f>'Recovery Log'!A19</f>
        <v>0</v>
      </c>
      <c r="B19" s="4" t="str">
        <f>'Recovery Log'!F19</f>
        <v/>
      </c>
      <c r="C19" s="25">
        <v>1671.0949900000001</v>
      </c>
      <c r="D19" s="25">
        <v>0.16</v>
      </c>
      <c r="E19" s="52">
        <f>'Deployment Log'!AF19</f>
        <v>0</v>
      </c>
      <c r="F19" s="4">
        <f>'Deployment Log'!AG19</f>
        <v>0</v>
      </c>
      <c r="G19" s="4">
        <f>'Deployment Log'!AH19</f>
        <v>0</v>
      </c>
      <c r="H19" s="4">
        <f>'Deployment Log'!AI19</f>
        <v>0</v>
      </c>
      <c r="I19" s="4">
        <f>'Deployment Log'!AJ19</f>
        <v>0</v>
      </c>
      <c r="J19" s="4">
        <f>'Deployment Log'!AK19</f>
        <v>0</v>
      </c>
      <c r="K19" s="4">
        <f t="shared" si="6"/>
        <v>0</v>
      </c>
      <c r="L19" s="4">
        <f t="shared" si="7"/>
        <v>0</v>
      </c>
      <c r="M19" s="4">
        <f t="shared" si="8"/>
        <v>0</v>
      </c>
      <c r="N19" s="4">
        <f t="shared" si="9"/>
        <v>0</v>
      </c>
      <c r="O19" s="4">
        <f t="shared" si="10"/>
        <v>0</v>
      </c>
      <c r="P19" s="4">
        <f t="shared" si="11"/>
        <v>0</v>
      </c>
      <c r="Q19" s="18" t="e">
        <f t="shared" si="32"/>
        <v>#DIV/0!</v>
      </c>
      <c r="R19" s="18" t="e">
        <f t="shared" si="12"/>
        <v>#DIV/0!</v>
      </c>
      <c r="S19" s="4" t="e">
        <f t="shared" si="13"/>
        <v>#DIV/0!</v>
      </c>
      <c r="T19" s="4" t="e">
        <f t="shared" si="14"/>
        <v>#DIV/0!</v>
      </c>
      <c r="U19" s="18">
        <f t="shared" si="15"/>
        <v>0</v>
      </c>
      <c r="V19" s="18">
        <f t="shared" si="16"/>
        <v>0</v>
      </c>
      <c r="W19" s="53">
        <f t="shared" si="17"/>
        <v>0</v>
      </c>
      <c r="X19" s="4">
        <f>'Recovery Log'!P19</f>
        <v>0</v>
      </c>
      <c r="Y19" s="4">
        <f>'Recovery Log'!Q19</f>
        <v>0</v>
      </c>
      <c r="Z19" s="4">
        <f>'Recovery Log'!R19</f>
        <v>0</v>
      </c>
      <c r="AA19" s="4">
        <f>'Recovery Log'!S19</f>
        <v>0</v>
      </c>
      <c r="AB19" s="4">
        <f>'Recovery Log'!T19</f>
        <v>0</v>
      </c>
      <c r="AC19" s="4">
        <f>'Recovery Log'!U19</f>
        <v>0</v>
      </c>
      <c r="AD19" s="4">
        <f t="shared" si="18"/>
        <v>0</v>
      </c>
      <c r="AE19" s="4">
        <f t="shared" si="19"/>
        <v>0</v>
      </c>
      <c r="AF19" s="4">
        <f t="shared" si="20"/>
        <v>0</v>
      </c>
      <c r="AG19" s="4">
        <f t="shared" si="21"/>
        <v>0</v>
      </c>
      <c r="AH19" s="4">
        <f t="shared" si="22"/>
        <v>0</v>
      </c>
      <c r="AI19" s="4">
        <f t="shared" si="23"/>
        <v>0</v>
      </c>
      <c r="AJ19" s="4" t="e">
        <f t="shared" si="24"/>
        <v>#DIV/0!</v>
      </c>
      <c r="AK19" s="4" t="e">
        <f t="shared" si="25"/>
        <v>#DIV/0!</v>
      </c>
      <c r="AL19" s="4" t="e">
        <f t="shared" si="26"/>
        <v>#DIV/0!</v>
      </c>
      <c r="AM19" s="4" t="e">
        <f t="shared" si="27"/>
        <v>#DIV/0!</v>
      </c>
      <c r="AN19" s="18">
        <f t="shared" si="28"/>
        <v>0</v>
      </c>
      <c r="AO19" s="18">
        <f t="shared" si="29"/>
        <v>0</v>
      </c>
      <c r="AP19" s="53">
        <f t="shared" si="30"/>
        <v>0</v>
      </c>
      <c r="AQ19" t="e">
        <f t="shared" si="31"/>
        <v>#DIV/0!</v>
      </c>
    </row>
    <row r="20" spans="1:43" x14ac:dyDescent="0.25">
      <c r="A20" s="4">
        <f>'Recovery Log'!A20</f>
        <v>0</v>
      </c>
      <c r="B20" s="4" t="str">
        <f>'Recovery Log'!F20</f>
        <v/>
      </c>
      <c r="C20" s="25">
        <v>1671.0949900000001</v>
      </c>
      <c r="D20" s="25">
        <v>0.16</v>
      </c>
      <c r="E20" s="52">
        <f>'Deployment Log'!AF20</f>
        <v>0</v>
      </c>
      <c r="F20" s="4">
        <f>'Deployment Log'!AG20</f>
        <v>0</v>
      </c>
      <c r="G20" s="4">
        <f>'Deployment Log'!AH20</f>
        <v>0</v>
      </c>
      <c r="H20" s="4">
        <f>'Deployment Log'!AI20</f>
        <v>0</v>
      </c>
      <c r="I20" s="4">
        <f>'Deployment Log'!AJ20</f>
        <v>0</v>
      </c>
      <c r="J20" s="4">
        <f>'Deployment Log'!AK20</f>
        <v>0</v>
      </c>
      <c r="K20" s="4">
        <f t="shared" si="6"/>
        <v>0</v>
      </c>
      <c r="L20" s="4">
        <f t="shared" si="7"/>
        <v>0</v>
      </c>
      <c r="M20" s="4">
        <f t="shared" si="8"/>
        <v>0</v>
      </c>
      <c r="N20" s="4">
        <f t="shared" si="9"/>
        <v>0</v>
      </c>
      <c r="O20" s="4">
        <f t="shared" si="10"/>
        <v>0</v>
      </c>
      <c r="P20" s="4">
        <f t="shared" si="11"/>
        <v>0</v>
      </c>
      <c r="Q20" s="18" t="e">
        <f t="shared" si="32"/>
        <v>#DIV/0!</v>
      </c>
      <c r="R20" s="18" t="e">
        <f t="shared" si="12"/>
        <v>#DIV/0!</v>
      </c>
      <c r="S20" s="4" t="e">
        <f t="shared" si="13"/>
        <v>#DIV/0!</v>
      </c>
      <c r="T20" s="4" t="e">
        <f t="shared" si="14"/>
        <v>#DIV/0!</v>
      </c>
      <c r="U20" s="18">
        <f t="shared" si="15"/>
        <v>0</v>
      </c>
      <c r="V20" s="18">
        <f t="shared" si="16"/>
        <v>0</v>
      </c>
      <c r="W20" s="53">
        <f t="shared" si="17"/>
        <v>0</v>
      </c>
      <c r="X20" s="4">
        <f>'Recovery Log'!P20</f>
        <v>0</v>
      </c>
      <c r="Y20" s="4">
        <f>'Recovery Log'!Q20</f>
        <v>0</v>
      </c>
      <c r="Z20" s="4">
        <f>'Recovery Log'!R20</f>
        <v>0</v>
      </c>
      <c r="AA20" s="4">
        <f>'Recovery Log'!S20</f>
        <v>0</v>
      </c>
      <c r="AB20" s="4">
        <f>'Recovery Log'!T20</f>
        <v>0</v>
      </c>
      <c r="AC20" s="4">
        <f>'Recovery Log'!U20</f>
        <v>0</v>
      </c>
      <c r="AD20" s="4">
        <f t="shared" si="18"/>
        <v>0</v>
      </c>
      <c r="AE20" s="4">
        <f t="shared" si="19"/>
        <v>0</v>
      </c>
      <c r="AF20" s="4">
        <f t="shared" si="20"/>
        <v>0</v>
      </c>
      <c r="AG20" s="4">
        <f t="shared" si="21"/>
        <v>0</v>
      </c>
      <c r="AH20" s="4">
        <f t="shared" si="22"/>
        <v>0</v>
      </c>
      <c r="AI20" s="4">
        <f t="shared" si="23"/>
        <v>0</v>
      </c>
      <c r="AJ20" s="4" t="e">
        <f t="shared" si="24"/>
        <v>#DIV/0!</v>
      </c>
      <c r="AK20" s="4" t="e">
        <f t="shared" si="25"/>
        <v>#DIV/0!</v>
      </c>
      <c r="AL20" s="4" t="e">
        <f t="shared" si="26"/>
        <v>#DIV/0!</v>
      </c>
      <c r="AM20" s="4" t="e">
        <f t="shared" si="27"/>
        <v>#DIV/0!</v>
      </c>
      <c r="AN20" s="18">
        <f t="shared" si="28"/>
        <v>0</v>
      </c>
      <c r="AO20" s="18">
        <f t="shared" si="29"/>
        <v>0</v>
      </c>
      <c r="AP20" s="53">
        <f t="shared" si="30"/>
        <v>0</v>
      </c>
      <c r="AQ20" t="e">
        <f t="shared" si="31"/>
        <v>#DIV/0!</v>
      </c>
    </row>
    <row r="21" spans="1:43" x14ac:dyDescent="0.25">
      <c r="A21" s="4">
        <f>'Recovery Log'!A21</f>
        <v>0</v>
      </c>
      <c r="B21" s="4" t="str">
        <f>'Recovery Log'!F21</f>
        <v/>
      </c>
      <c r="C21" s="25">
        <v>1671.0949900000001</v>
      </c>
      <c r="D21" s="25">
        <v>0.16</v>
      </c>
      <c r="E21" s="52">
        <f>'Deployment Log'!AF21</f>
        <v>0</v>
      </c>
      <c r="F21" s="4">
        <f>'Deployment Log'!AG21</f>
        <v>0</v>
      </c>
      <c r="G21" s="4">
        <f>'Deployment Log'!AH21</f>
        <v>0</v>
      </c>
      <c r="H21" s="4">
        <f>'Deployment Log'!AI21</f>
        <v>0</v>
      </c>
      <c r="I21" s="4">
        <f>'Deployment Log'!AJ21</f>
        <v>0</v>
      </c>
      <c r="J21" s="4">
        <f>'Deployment Log'!AK21</f>
        <v>0</v>
      </c>
      <c r="K21" s="4">
        <f t="shared" si="6"/>
        <v>0</v>
      </c>
      <c r="L21" s="4">
        <f t="shared" si="7"/>
        <v>0</v>
      </c>
      <c r="M21" s="4">
        <f t="shared" si="8"/>
        <v>0</v>
      </c>
      <c r="N21" s="4">
        <f t="shared" si="9"/>
        <v>0</v>
      </c>
      <c r="O21" s="4">
        <f t="shared" si="10"/>
        <v>0</v>
      </c>
      <c r="P21" s="4">
        <f t="shared" si="11"/>
        <v>0</v>
      </c>
      <c r="Q21" s="18" t="e">
        <f t="shared" si="32"/>
        <v>#DIV/0!</v>
      </c>
      <c r="R21" s="18" t="e">
        <f t="shared" si="12"/>
        <v>#DIV/0!</v>
      </c>
      <c r="S21" s="4" t="e">
        <f t="shared" si="13"/>
        <v>#DIV/0!</v>
      </c>
      <c r="T21" s="4" t="e">
        <f t="shared" si="14"/>
        <v>#DIV/0!</v>
      </c>
      <c r="U21" s="18">
        <f t="shared" si="15"/>
        <v>0</v>
      </c>
      <c r="V21" s="18">
        <f t="shared" si="16"/>
        <v>0</v>
      </c>
      <c r="W21" s="53">
        <f t="shared" si="17"/>
        <v>0</v>
      </c>
      <c r="X21" s="4">
        <f>'Recovery Log'!P21</f>
        <v>0</v>
      </c>
      <c r="Y21" s="4">
        <f>'Recovery Log'!Q21</f>
        <v>0</v>
      </c>
      <c r="Z21" s="4">
        <f>'Recovery Log'!R21</f>
        <v>0</v>
      </c>
      <c r="AA21" s="4">
        <f>'Recovery Log'!S21</f>
        <v>0</v>
      </c>
      <c r="AB21" s="4">
        <f>'Recovery Log'!T21</f>
        <v>0</v>
      </c>
      <c r="AC21" s="4">
        <f>'Recovery Log'!U21</f>
        <v>0</v>
      </c>
      <c r="AD21" s="4">
        <f t="shared" si="18"/>
        <v>0</v>
      </c>
      <c r="AE21" s="4">
        <f t="shared" si="19"/>
        <v>0</v>
      </c>
      <c r="AF21" s="4">
        <f t="shared" si="20"/>
        <v>0</v>
      </c>
      <c r="AG21" s="4">
        <f t="shared" si="21"/>
        <v>0</v>
      </c>
      <c r="AH21" s="4">
        <f t="shared" si="22"/>
        <v>0</v>
      </c>
      <c r="AI21" s="4">
        <f t="shared" si="23"/>
        <v>0</v>
      </c>
      <c r="AJ21" s="4" t="e">
        <f t="shared" si="24"/>
        <v>#DIV/0!</v>
      </c>
      <c r="AK21" s="4" t="e">
        <f t="shared" si="25"/>
        <v>#DIV/0!</v>
      </c>
      <c r="AL21" s="4" t="e">
        <f t="shared" si="26"/>
        <v>#DIV/0!</v>
      </c>
      <c r="AM21" s="4" t="e">
        <f t="shared" si="27"/>
        <v>#DIV/0!</v>
      </c>
      <c r="AN21" s="18">
        <f t="shared" si="28"/>
        <v>0</v>
      </c>
      <c r="AO21" s="18">
        <f t="shared" si="29"/>
        <v>0</v>
      </c>
      <c r="AP21" s="53">
        <f t="shared" si="30"/>
        <v>0</v>
      </c>
      <c r="AQ21" t="e">
        <f t="shared" si="31"/>
        <v>#DIV/0!</v>
      </c>
    </row>
    <row r="22" spans="1:43" x14ac:dyDescent="0.25">
      <c r="A22" s="4">
        <f>'Recovery Log'!A22</f>
        <v>0</v>
      </c>
      <c r="B22" s="4" t="str">
        <f>'Recovery Log'!F22</f>
        <v/>
      </c>
      <c r="C22" s="25">
        <v>1671.0949900000001</v>
      </c>
      <c r="D22" s="25">
        <v>0.16</v>
      </c>
      <c r="E22" s="52">
        <f>'Deployment Log'!AF22</f>
        <v>0</v>
      </c>
      <c r="F22" s="4">
        <f>'Deployment Log'!AG22</f>
        <v>0</v>
      </c>
      <c r="G22" s="4">
        <f>'Deployment Log'!AH22</f>
        <v>0</v>
      </c>
      <c r="H22" s="4">
        <f>'Deployment Log'!AI22</f>
        <v>0</v>
      </c>
      <c r="I22" s="4">
        <f>'Deployment Log'!AJ22</f>
        <v>0</v>
      </c>
      <c r="J22" s="4">
        <f>'Deployment Log'!AK22</f>
        <v>0</v>
      </c>
      <c r="K22" s="4">
        <f t="shared" si="6"/>
        <v>0</v>
      </c>
      <c r="L22" s="4">
        <f t="shared" si="7"/>
        <v>0</v>
      </c>
      <c r="M22" s="4">
        <f t="shared" si="8"/>
        <v>0</v>
      </c>
      <c r="N22" s="4">
        <f t="shared" si="9"/>
        <v>0</v>
      </c>
      <c r="O22" s="4">
        <f t="shared" si="10"/>
        <v>0</v>
      </c>
      <c r="P22" s="4">
        <f t="shared" si="11"/>
        <v>0</v>
      </c>
      <c r="Q22" s="18" t="e">
        <f t="shared" si="32"/>
        <v>#DIV/0!</v>
      </c>
      <c r="R22" s="18" t="e">
        <f t="shared" si="12"/>
        <v>#DIV/0!</v>
      </c>
      <c r="S22" s="4" t="e">
        <f t="shared" si="13"/>
        <v>#DIV/0!</v>
      </c>
      <c r="T22" s="4" t="e">
        <f t="shared" si="14"/>
        <v>#DIV/0!</v>
      </c>
      <c r="U22" s="18">
        <f t="shared" si="15"/>
        <v>0</v>
      </c>
      <c r="V22" s="18">
        <f t="shared" si="16"/>
        <v>0</v>
      </c>
      <c r="W22" s="53">
        <f t="shared" si="17"/>
        <v>0</v>
      </c>
      <c r="X22" s="4">
        <f>'Recovery Log'!P22</f>
        <v>0</v>
      </c>
      <c r="Y22" s="4">
        <f>'Recovery Log'!Q22</f>
        <v>0</v>
      </c>
      <c r="Z22" s="4">
        <f>'Recovery Log'!R22</f>
        <v>0</v>
      </c>
      <c r="AA22" s="4">
        <f>'Recovery Log'!S22</f>
        <v>0</v>
      </c>
      <c r="AB22" s="4">
        <f>'Recovery Log'!T22</f>
        <v>0</v>
      </c>
      <c r="AC22" s="4">
        <f>'Recovery Log'!U22</f>
        <v>0</v>
      </c>
      <c r="AD22" s="4">
        <f t="shared" si="18"/>
        <v>0</v>
      </c>
      <c r="AE22" s="4">
        <f t="shared" si="19"/>
        <v>0</v>
      </c>
      <c r="AF22" s="4">
        <f t="shared" si="20"/>
        <v>0</v>
      </c>
      <c r="AG22" s="4">
        <f t="shared" si="21"/>
        <v>0</v>
      </c>
      <c r="AH22" s="4">
        <f t="shared" si="22"/>
        <v>0</v>
      </c>
      <c r="AI22" s="4">
        <f t="shared" si="23"/>
        <v>0</v>
      </c>
      <c r="AJ22" s="4" t="e">
        <f t="shared" si="24"/>
        <v>#DIV/0!</v>
      </c>
      <c r="AK22" s="4" t="e">
        <f t="shared" si="25"/>
        <v>#DIV/0!</v>
      </c>
      <c r="AL22" s="4" t="e">
        <f t="shared" si="26"/>
        <v>#DIV/0!</v>
      </c>
      <c r="AM22" s="4" t="e">
        <f t="shared" si="27"/>
        <v>#DIV/0!</v>
      </c>
      <c r="AN22" s="18">
        <f t="shared" si="28"/>
        <v>0</v>
      </c>
      <c r="AO22" s="18">
        <f t="shared" si="29"/>
        <v>0</v>
      </c>
      <c r="AP22" s="53">
        <f t="shared" si="30"/>
        <v>0</v>
      </c>
      <c r="AQ22" t="e">
        <f t="shared" si="31"/>
        <v>#DIV/0!</v>
      </c>
    </row>
    <row r="24" spans="1:43" s="25" customFormat="1" x14ac:dyDescent="0.25">
      <c r="A24" s="25" t="s">
        <v>150</v>
      </c>
      <c r="E24" s="54"/>
      <c r="K24" s="25">
        <f>MIN(K4:K22)</f>
        <v>0</v>
      </c>
      <c r="Q24" s="25" t="e">
        <f t="shared" ref="Q24:W24" si="33">MIN(Q4:Q22)</f>
        <v>#DIV/0!</v>
      </c>
      <c r="R24" s="25" t="e">
        <f t="shared" si="33"/>
        <v>#DIV/0!</v>
      </c>
      <c r="S24" s="25" t="e">
        <f t="shared" si="33"/>
        <v>#DIV/0!</v>
      </c>
      <c r="T24" s="25" t="e">
        <f t="shared" si="33"/>
        <v>#DIV/0!</v>
      </c>
      <c r="U24" s="25">
        <f t="shared" si="33"/>
        <v>0</v>
      </c>
      <c r="V24" s="25">
        <f t="shared" si="33"/>
        <v>0</v>
      </c>
      <c r="W24" s="55">
        <f t="shared" si="33"/>
        <v>0</v>
      </c>
      <c r="AD24" s="25">
        <f>MIN(AD4:AD22)</f>
        <v>0</v>
      </c>
      <c r="AJ24" s="25" t="e">
        <f t="shared" ref="AJ24:AP24" si="34">MIN(AJ4:AJ22)</f>
        <v>#DIV/0!</v>
      </c>
      <c r="AK24" s="25" t="e">
        <f t="shared" si="34"/>
        <v>#DIV/0!</v>
      </c>
      <c r="AL24" s="25" t="e">
        <f t="shared" si="34"/>
        <v>#DIV/0!</v>
      </c>
      <c r="AM24" s="25" t="e">
        <f t="shared" si="34"/>
        <v>#DIV/0!</v>
      </c>
      <c r="AN24" s="25">
        <f t="shared" si="34"/>
        <v>0</v>
      </c>
      <c r="AO24" s="25">
        <f t="shared" si="34"/>
        <v>0</v>
      </c>
      <c r="AP24" s="25">
        <f t="shared" si="34"/>
        <v>0</v>
      </c>
    </row>
    <row r="25" spans="1:43" s="25" customFormat="1" x14ac:dyDescent="0.25">
      <c r="A25" s="25" t="s">
        <v>151</v>
      </c>
      <c r="E25" s="54"/>
      <c r="K25" s="25">
        <f>MAX(K4:K22)</f>
        <v>0</v>
      </c>
      <c r="Q25" s="25" t="e">
        <f t="shared" ref="Q25:W25" si="35">MAX(Q4:Q22)</f>
        <v>#DIV/0!</v>
      </c>
      <c r="R25" s="25" t="e">
        <f t="shared" si="35"/>
        <v>#DIV/0!</v>
      </c>
      <c r="S25" s="25" t="e">
        <f t="shared" si="35"/>
        <v>#DIV/0!</v>
      </c>
      <c r="T25" s="25" t="e">
        <f t="shared" si="35"/>
        <v>#DIV/0!</v>
      </c>
      <c r="U25" s="25">
        <f t="shared" si="35"/>
        <v>0</v>
      </c>
      <c r="V25" s="25">
        <f t="shared" si="35"/>
        <v>0</v>
      </c>
      <c r="W25" s="55">
        <f t="shared" si="35"/>
        <v>0</v>
      </c>
      <c r="AD25" s="25">
        <f>MAX(AD4:AD22)</f>
        <v>0</v>
      </c>
      <c r="AJ25" s="25" t="e">
        <f t="shared" ref="AJ25:AP25" si="36">MAX(AJ4:AJ22)</f>
        <v>#DIV/0!</v>
      </c>
      <c r="AK25" s="25" t="e">
        <f t="shared" si="36"/>
        <v>#DIV/0!</v>
      </c>
      <c r="AL25" s="25" t="e">
        <f t="shared" si="36"/>
        <v>#DIV/0!</v>
      </c>
      <c r="AM25" s="25" t="e">
        <f t="shared" si="36"/>
        <v>#DIV/0!</v>
      </c>
      <c r="AN25" s="25">
        <f t="shared" si="36"/>
        <v>0</v>
      </c>
      <c r="AO25" s="25">
        <f t="shared" si="36"/>
        <v>0</v>
      </c>
      <c r="AP25" s="25">
        <f t="shared" si="36"/>
        <v>0</v>
      </c>
    </row>
  </sheetData>
  <mergeCells count="22">
    <mergeCell ref="AQ2:AQ3"/>
    <mergeCell ref="R2:R3"/>
    <mergeCell ref="S2:T2"/>
    <mergeCell ref="U2:W2"/>
    <mergeCell ref="X2:Z2"/>
    <mergeCell ref="AA2:AC2"/>
    <mergeCell ref="AD2:AF2"/>
    <mergeCell ref="AG2:AI2"/>
    <mergeCell ref="AJ2:AJ3"/>
    <mergeCell ref="AK2:AK3"/>
    <mergeCell ref="AL2:AM2"/>
    <mergeCell ref="AN2:AP2"/>
    <mergeCell ref="E1:W1"/>
    <mergeCell ref="X1:AP1"/>
    <mergeCell ref="A2:A3"/>
    <mergeCell ref="B2:B3"/>
    <mergeCell ref="C2:D2"/>
    <mergeCell ref="E2:G2"/>
    <mergeCell ref="H2:J2"/>
    <mergeCell ref="K2:M2"/>
    <mergeCell ref="N2:P2"/>
    <mergeCell ref="Q2:Q3"/>
  </mergeCells>
  <conditionalFormatting sqref="K4:K22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4:Q22">
    <cfRule type="colorScale" priority="17">
      <colorScale>
        <cfvo type="min"/>
        <cfvo type="max"/>
        <color rgb="FFFCFCFF"/>
        <color rgb="FFF8696B"/>
      </colorScale>
    </cfRule>
  </conditionalFormatting>
  <conditionalFormatting sqref="R4:S22">
    <cfRule type="colorScale" priority="16">
      <colorScale>
        <cfvo type="min"/>
        <cfvo type="max"/>
        <color rgb="FFFCFCFF"/>
        <color rgb="FF63BE7B"/>
      </colorScale>
    </cfRule>
  </conditionalFormatting>
  <conditionalFormatting sqref="T4:T22">
    <cfRule type="colorScale" priority="15">
      <colorScale>
        <cfvo type="min"/>
        <cfvo type="max"/>
        <color rgb="FFFCFCFF"/>
        <color rgb="FFF8696B"/>
      </colorScale>
    </cfRule>
  </conditionalFormatting>
  <conditionalFormatting sqref="U4:W22">
    <cfRule type="colorScale" priority="14">
      <colorScale>
        <cfvo type="min"/>
        <cfvo type="max"/>
        <color theme="0"/>
        <color theme="8" tint="0.39997558519241921"/>
      </colorScale>
    </cfRule>
  </conditionalFormatting>
  <conditionalFormatting sqref="AD4:AD2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J4:AJ22">
    <cfRule type="colorScale" priority="5">
      <colorScale>
        <cfvo type="min"/>
        <cfvo type="max"/>
        <color rgb="FFFCFCFF"/>
        <color rgb="FFF8696B"/>
      </colorScale>
    </cfRule>
  </conditionalFormatting>
  <conditionalFormatting sqref="AK4:AL22">
    <cfRule type="colorScale" priority="4">
      <colorScale>
        <cfvo type="min"/>
        <cfvo type="max"/>
        <color rgb="FFFCFCFF"/>
        <color rgb="FF63BE7B"/>
      </colorScale>
    </cfRule>
  </conditionalFormatting>
  <conditionalFormatting sqref="AM4:AM22">
    <cfRule type="colorScale" priority="3">
      <colorScale>
        <cfvo type="min"/>
        <cfvo type="max"/>
        <color rgb="FFFCFCFF"/>
        <color rgb="FFF8696B"/>
      </colorScale>
    </cfRule>
  </conditionalFormatting>
  <conditionalFormatting sqref="AN4:AP22">
    <cfRule type="colorScale" priority="2">
      <colorScale>
        <cfvo type="min"/>
        <cfvo type="max"/>
        <color theme="0"/>
        <color theme="8" tint="0.39997558519241921"/>
      </colorScale>
    </cfRule>
  </conditionalFormatting>
  <conditionalFormatting sqref="AQ4:AQ22">
    <cfRule type="colorScale" priority="1">
      <colorScale>
        <cfvo type="min"/>
        <cfvo type="max"/>
        <color rgb="FFFCFCFF"/>
        <color rgb="FF7030A0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7ec9ba-d205-4d26-a705-713bfef326ac" xsi:nil="true"/>
    <lcf76f155ced4ddcb4097134ff3c332f xmlns="bb9a3477-b5ee-4329-bd7d-11707cb093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8D9763CCD47458E7B94372C3114CD" ma:contentTypeVersion="15" ma:contentTypeDescription="Create a new document." ma:contentTypeScope="" ma:versionID="7137e1474842bb3c03d9a17314070fe7">
  <xsd:schema xmlns:xsd="http://www.w3.org/2001/XMLSchema" xmlns:xs="http://www.w3.org/2001/XMLSchema" xmlns:p="http://schemas.microsoft.com/office/2006/metadata/properties" xmlns:ns2="bb9a3477-b5ee-4329-bd7d-11707cb09382" xmlns:ns3="337ec9ba-d205-4d26-a705-713bfef326ac" targetNamespace="http://schemas.microsoft.com/office/2006/metadata/properties" ma:root="true" ma:fieldsID="970cc0256905d87aedb2a66c754deed7" ns2:_="" ns3:_="">
    <xsd:import namespace="bb9a3477-b5ee-4329-bd7d-11707cb09382"/>
    <xsd:import namespace="337ec9ba-d205-4d26-a705-713bfef32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9a3477-b5ee-4329-bd7d-11707cb09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0635ccc-b02a-4d30-ada7-5ff52beaed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ec9ba-d205-4d26-a705-713bfef326a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a0b10b5-a99b-4259-9f6d-3b7f17d1cddb}" ma:internalName="TaxCatchAll" ma:showField="CatchAllData" ma:web="337ec9ba-d205-4d26-a705-713bfef326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4A9EF-6E6F-4527-853B-C64B8BE760DA}">
  <ds:schemaRefs>
    <ds:schemaRef ds:uri="http://schemas.microsoft.com/office/2006/metadata/properties"/>
    <ds:schemaRef ds:uri="http://schemas.microsoft.com/office/infopath/2007/PartnerControls"/>
    <ds:schemaRef ds:uri="337ec9ba-d205-4d26-a705-713bfef326ac"/>
    <ds:schemaRef ds:uri="bb9a3477-b5ee-4329-bd7d-11707cb09382"/>
  </ds:schemaRefs>
</ds:datastoreItem>
</file>

<file path=customXml/itemProps2.xml><?xml version="1.0" encoding="utf-8"?>
<ds:datastoreItem xmlns:ds="http://schemas.openxmlformats.org/officeDocument/2006/customXml" ds:itemID="{C770B065-8937-4924-908B-A1A40BB650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B717CB-557A-4E9A-B897-3E820A1E9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9a3477-b5ee-4329-bd7d-11707cb09382"/>
    <ds:schemaRef ds:uri="337ec9ba-d205-4d26-a705-713bfef32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Locations</vt:lpstr>
      <vt:lpstr>Deployment Log</vt:lpstr>
      <vt:lpstr>Recovery Log</vt:lpstr>
      <vt:lpstr>Summary for Recovery Ops</vt:lpstr>
      <vt:lpstr>Available OBS</vt:lpstr>
      <vt:lpstr>Orientation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Bosman</dc:creator>
  <cp:keywords/>
  <dc:description/>
  <cp:lastModifiedBy>Katie Bosman</cp:lastModifiedBy>
  <cp:revision/>
  <cp:lastPrinted>2025-05-01T19:13:15Z</cp:lastPrinted>
  <dcterms:created xsi:type="dcterms:W3CDTF">2021-11-08T16:49:10Z</dcterms:created>
  <dcterms:modified xsi:type="dcterms:W3CDTF">2025-08-26T18:09:43Z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0x01010045D8D9763CCD47458E7B94372C3114CD</vt:lpwstr>
  </property>
  <property fmtid="{D5CDD505-2E9C-101B-9397-08002B2CF9AE}" pid="3" name="MediaServiceImageTags">
    <vt:lpwstr/>
  </property>
</Properties>
</file>